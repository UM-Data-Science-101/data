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lenejensen/Dropbox/Kortlægning af ejerkattes aktiviteter via GPS/1. revision katteartikel/S1. Supplementary materials/"/>
    </mc:Choice>
  </mc:AlternateContent>
  <xr:revisionPtr revIDLastSave="0" documentId="13_ncr:1_{822A7B8B-604A-DA41-BFD8-7D0B55E77BF8}" xr6:coauthVersionLast="47" xr6:coauthVersionMax="47" xr10:uidLastSave="{00000000-0000-0000-0000-000000000000}"/>
  <bookViews>
    <workbookView xWindow="0" yWindow="500" windowWidth="35840" windowHeight="20980" activeTab="3" xr2:uid="{00000000-000D-0000-FFFF-FFFF00000000}"/>
  </bookViews>
  <sheets>
    <sheet name="Questionnaire data and areas" sheetId="4" r:id="rId1"/>
    <sheet name="Home range and time away" sheetId="8" r:id="rId2"/>
    <sheet name="Distance moved and rainfall" sheetId="6" r:id="rId3"/>
    <sheet name="Location errors of trackers" sheetId="9" r:id="rId4"/>
  </sheets>
  <definedNames>
    <definedName name="_xlnm._FilterDatabase" localSheetId="2" hidden="1">'Distance moved and rainfall'!$A$1:$C$1</definedName>
    <definedName name="_xlnm._FilterDatabase" localSheetId="1" hidden="1">'Home range and time away'!$A$1:$E$1</definedName>
    <definedName name="_xlnm._FilterDatabase" localSheetId="0" hidden="1">'Questionnaire data and areas'!$A$1:$L$1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9" l="1"/>
  <c r="D15" i="9"/>
  <c r="D14" i="9"/>
  <c r="D13" i="9"/>
  <c r="D12" i="9"/>
  <c r="D11" i="9"/>
  <c r="D10" i="9"/>
  <c r="D9" i="9"/>
  <c r="D8" i="9"/>
  <c r="D7" i="9"/>
  <c r="D6" i="9"/>
  <c r="D19" i="9" s="1"/>
  <c r="E19" i="9" s="1"/>
</calcChain>
</file>

<file path=xl/sharedStrings.xml><?xml version="1.0" encoding="utf-8"?>
<sst xmlns="http://schemas.openxmlformats.org/spreadsheetml/2006/main" count="1292" uniqueCount="211">
  <si>
    <t>Ragdoll</t>
  </si>
  <si>
    <t/>
  </si>
  <si>
    <t>Do not know</t>
  </si>
  <si>
    <t>1 year</t>
  </si>
  <si>
    <t>2 years</t>
  </si>
  <si>
    <t>3 years</t>
  </si>
  <si>
    <t>4 years</t>
  </si>
  <si>
    <t>5 years</t>
  </si>
  <si>
    <t>6 years</t>
  </si>
  <si>
    <t>7 years</t>
  </si>
  <si>
    <t>8 years</t>
  </si>
  <si>
    <t>9 years</t>
  </si>
  <si>
    <t>10 years</t>
  </si>
  <si>
    <t>11 years</t>
  </si>
  <si>
    <t>12 years</t>
  </si>
  <si>
    <t>13 years</t>
  </si>
  <si>
    <t>15 years</t>
  </si>
  <si>
    <t>16 years</t>
  </si>
  <si>
    <t>A neutered female</t>
  </si>
  <si>
    <t>A neutered male</t>
  </si>
  <si>
    <t>An intact female</t>
  </si>
  <si>
    <t>An intact male</t>
  </si>
  <si>
    <t>Domestic shorthair</t>
  </si>
  <si>
    <t>Mixed breed</t>
  </si>
  <si>
    <t>Norwegian Forest cat</t>
  </si>
  <si>
    <t>Birman</t>
  </si>
  <si>
    <t>Bengal</t>
  </si>
  <si>
    <t>Other purebred cat</t>
  </si>
  <si>
    <t xml:space="preserve">Indoor cat with outdoor access via cat flap </t>
  </si>
  <si>
    <t>Indoor cat with outdoor access via window or door</t>
  </si>
  <si>
    <t>Outdoor cat or farm cat which is rarely or never indoors</t>
  </si>
  <si>
    <t>The cat is able to go outside and inside as it pleases at all hours day and night</t>
  </si>
  <si>
    <t>The cat is typically let out during the day and is indoors at night</t>
  </si>
  <si>
    <t>The cat is typically let out at night and is indoors during the day</t>
  </si>
  <si>
    <t>Yes</t>
  </si>
  <si>
    <t>No</t>
  </si>
  <si>
    <t>Maine Coon</t>
  </si>
  <si>
    <t>Russian Blue</t>
  </si>
  <si>
    <t>Cat 01</t>
  </si>
  <si>
    <t>Cat 02</t>
  </si>
  <si>
    <t>Cat 03</t>
  </si>
  <si>
    <t>Cat 04</t>
  </si>
  <si>
    <t>Cat 05</t>
  </si>
  <si>
    <t>Cat 06</t>
  </si>
  <si>
    <t>Cat 07</t>
  </si>
  <si>
    <t>Cat 08</t>
  </si>
  <si>
    <t>Cat 09</t>
  </si>
  <si>
    <t>Cat 10</t>
  </si>
  <si>
    <t>Cat 11</t>
  </si>
  <si>
    <t>Cat 12</t>
  </si>
  <si>
    <t>Cat 13</t>
  </si>
  <si>
    <t>Cat 14</t>
  </si>
  <si>
    <t>Cat 15</t>
  </si>
  <si>
    <t>Cat 16</t>
  </si>
  <si>
    <t>Cat 17</t>
  </si>
  <si>
    <t>Cat 18</t>
  </si>
  <si>
    <t>Cat 19</t>
  </si>
  <si>
    <t>Cat 20</t>
  </si>
  <si>
    <t>Cat 21</t>
  </si>
  <si>
    <t>Cat 22</t>
  </si>
  <si>
    <t>Cat 23</t>
  </si>
  <si>
    <t>Cat 24</t>
  </si>
  <si>
    <t>Cat 25</t>
  </si>
  <si>
    <t>Cat 26</t>
  </si>
  <si>
    <t>Cat 27</t>
  </si>
  <si>
    <t>Cat 29</t>
  </si>
  <si>
    <t>Cat 28</t>
  </si>
  <si>
    <t>Cat 30</t>
  </si>
  <si>
    <t>Cat 31</t>
  </si>
  <si>
    <t>Cat 32</t>
  </si>
  <si>
    <t>Cat 33</t>
  </si>
  <si>
    <t>Cat 34</t>
  </si>
  <si>
    <t>Cat 35</t>
  </si>
  <si>
    <t>Cat 36</t>
  </si>
  <si>
    <t>Cat 37</t>
  </si>
  <si>
    <t>Cat 38</t>
  </si>
  <si>
    <t>Cat 39</t>
  </si>
  <si>
    <t>Cat 40</t>
  </si>
  <si>
    <t>Cat 41</t>
  </si>
  <si>
    <t>Cat 42</t>
  </si>
  <si>
    <t>Cat 43</t>
  </si>
  <si>
    <t>Cat 44</t>
  </si>
  <si>
    <t>Cat 45</t>
  </si>
  <si>
    <t>Cat 46</t>
  </si>
  <si>
    <t>Cat 47</t>
  </si>
  <si>
    <t>Cat 48</t>
  </si>
  <si>
    <t>Cat 49</t>
  </si>
  <si>
    <t>Cat 50</t>
  </si>
  <si>
    <t>Cat 51</t>
  </si>
  <si>
    <t>Cat 52</t>
  </si>
  <si>
    <t>Cat 53</t>
  </si>
  <si>
    <t>Cat 54</t>
  </si>
  <si>
    <t>Cat 55</t>
  </si>
  <si>
    <t>Cat 56</t>
  </si>
  <si>
    <t>Cat 57</t>
  </si>
  <si>
    <t>Cat 58</t>
  </si>
  <si>
    <t>Cat 59</t>
  </si>
  <si>
    <t>Cat 60</t>
  </si>
  <si>
    <t>Cat 61</t>
  </si>
  <si>
    <t>Cat 62</t>
  </si>
  <si>
    <t>Cat 63</t>
  </si>
  <si>
    <t>Cat 64</t>
  </si>
  <si>
    <t>Cat 65</t>
  </si>
  <si>
    <t>Cat 66</t>
  </si>
  <si>
    <t>Cat 67</t>
  </si>
  <si>
    <t>Cat 68</t>
  </si>
  <si>
    <t>Cat 69</t>
  </si>
  <si>
    <t>Cat 70</t>
  </si>
  <si>
    <t>Cat 71</t>
  </si>
  <si>
    <t>Cat 72</t>
  </si>
  <si>
    <t>Cat 73</t>
  </si>
  <si>
    <t>Cat 74</t>
  </si>
  <si>
    <t>Cat 75</t>
  </si>
  <si>
    <t>Cat 76</t>
  </si>
  <si>
    <t>Cat 77</t>
  </si>
  <si>
    <t>Cat 78</t>
  </si>
  <si>
    <t>Cat 79</t>
  </si>
  <si>
    <t>Cat 80</t>
  </si>
  <si>
    <t>Cat 81</t>
  </si>
  <si>
    <t>Cat 82</t>
  </si>
  <si>
    <t>Cat 83</t>
  </si>
  <si>
    <t>Cat 84</t>
  </si>
  <si>
    <t>Cat 85</t>
  </si>
  <si>
    <t>Cat 86</t>
  </si>
  <si>
    <t>Cat 87</t>
  </si>
  <si>
    <t>Cat 88</t>
  </si>
  <si>
    <t>Cat 89</t>
  </si>
  <si>
    <t>Cat 90</t>
  </si>
  <si>
    <t>Cat 91</t>
  </si>
  <si>
    <t>Cat 92</t>
  </si>
  <si>
    <t>Cat 93</t>
  </si>
  <si>
    <t>Cat 94</t>
  </si>
  <si>
    <t>Cat 95</t>
  </si>
  <si>
    <t>Cat 96</t>
  </si>
  <si>
    <t>Cat 97</t>
  </si>
  <si>
    <t>Cat ID</t>
  </si>
  <si>
    <t>Age</t>
  </si>
  <si>
    <t>Breed</t>
  </si>
  <si>
    <t>Sex</t>
  </si>
  <si>
    <t>Type of outdoor access</t>
  </si>
  <si>
    <t>Restrictions day/night</t>
  </si>
  <si>
    <t>Ad libitum access to feed</t>
  </si>
  <si>
    <t>Nature</t>
  </si>
  <si>
    <t>Busy road</t>
  </si>
  <si>
    <t>Area</t>
  </si>
  <si>
    <t>Municipality</t>
  </si>
  <si>
    <t>Region</t>
  </si>
  <si>
    <t>Suburban</t>
  </si>
  <si>
    <t>Gribskov</t>
  </si>
  <si>
    <t>Capital Region of Denmark</t>
  </si>
  <si>
    <t>Cottage</t>
  </si>
  <si>
    <t>Rural</t>
  </si>
  <si>
    <t>Stevns</t>
  </si>
  <si>
    <t>Region Zealand</t>
  </si>
  <si>
    <t>Industry</t>
  </si>
  <si>
    <t>Urban</t>
  </si>
  <si>
    <t>Rødovre</t>
  </si>
  <si>
    <t>København</t>
  </si>
  <si>
    <t>Furesø</t>
  </si>
  <si>
    <t>Thisted</t>
  </si>
  <si>
    <t>North Denmark Region</t>
  </si>
  <si>
    <t>Greve</t>
  </si>
  <si>
    <t>Horsens</t>
  </si>
  <si>
    <t>Central Denmark Region</t>
  </si>
  <si>
    <t>Halsnæs</t>
  </si>
  <si>
    <t>Sønderborg</t>
  </si>
  <si>
    <t>Region of Southern Denmark</t>
  </si>
  <si>
    <t>Viborg</t>
  </si>
  <si>
    <t>Næstved</t>
  </si>
  <si>
    <t>Albertslund</t>
  </si>
  <si>
    <t>Esbjerg</t>
  </si>
  <si>
    <t>Ballerup</t>
  </si>
  <si>
    <t>Fredensborg</t>
  </si>
  <si>
    <t>Roskilde</t>
  </si>
  <si>
    <t>Faxe</t>
  </si>
  <si>
    <t>Rudersdal</t>
  </si>
  <si>
    <t>Aarhus</t>
  </si>
  <si>
    <t>Kolding</t>
  </si>
  <si>
    <t>Slagelse</t>
  </si>
  <si>
    <t>Egedal</t>
  </si>
  <si>
    <t>Køge</t>
  </si>
  <si>
    <t>Gentofte</t>
  </si>
  <si>
    <t>Aabenraa</t>
  </si>
  <si>
    <t>Herning</t>
  </si>
  <si>
    <t>Guldborgsund</t>
  </si>
  <si>
    <t>Brønderslev</t>
  </si>
  <si>
    <t>Lolland</t>
  </si>
  <si>
    <t>Vejle</t>
  </si>
  <si>
    <t>Kalundborg</t>
  </si>
  <si>
    <t>Fredericia</t>
  </si>
  <si>
    <t>Norddjurs</t>
  </si>
  <si>
    <t>Vordingborg</t>
  </si>
  <si>
    <t>Assens</t>
  </si>
  <si>
    <t>Recorded locations</t>
  </si>
  <si>
    <t>Tracking period (days)</t>
  </si>
  <si>
    <t>CatID</t>
  </si>
  <si>
    <t>Daily rainfall (mm)</t>
  </si>
  <si>
    <t>Percent time away</t>
  </si>
  <si>
    <t>Daily distance moved (m)</t>
  </si>
  <si>
    <t>BBKDE 95% (ha)</t>
  </si>
  <si>
    <t>GPS no.</t>
  </si>
  <si>
    <t>Location errors of ten tracking devices placed in different environments for 48 hours</t>
  </si>
  <si>
    <t>Error mean and variation within devices</t>
  </si>
  <si>
    <t>Mean error (m)</t>
  </si>
  <si>
    <t>Variance of error (m2)</t>
  </si>
  <si>
    <t>St.dev. of error (m)</t>
  </si>
  <si>
    <t>Error mean and variation between the 10 devices</t>
  </si>
  <si>
    <t>Mean variance (m2), within device</t>
  </si>
  <si>
    <t>St.dev. (m), within device</t>
  </si>
  <si>
    <t>Mean error</t>
  </si>
  <si>
    <t>St.dev. between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</si>
</sst>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wrapText="1"/>
    </xf>
    <xf numFmtId="165" fontId="0" fillId="0" borderId="0" xfId="0" applyNumberFormat="1"/>
    <xf numFmtId="0" fontId="0" fillId="0" borderId="2" xfId="0" applyBorder="1" applyAlignment="1">
      <alignment horizontal="center"/>
    </xf>
    <xf numFmtId="2" fontId="0" fillId="0" borderId="2" xfId="0" applyNumberFormat="1" applyBorder="1"/>
    <xf numFmtId="165" fontId="0" fillId="0" borderId="2" xfId="0" applyNumberFormat="1" applyBorder="1"/>
    <xf numFmtId="0" fontId="0" fillId="0" borderId="3" xfId="0" applyBorder="1"/>
    <xf numFmtId="165" fontId="0" fillId="0" borderId="1" xfId="0" applyNumberFormat="1" applyBorder="1" applyAlignment="1">
      <alignment wrapText="1"/>
    </xf>
    <xf numFmtId="2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8"/>
  <sheetViews>
    <sheetView workbookViewId="0">
      <selection activeCell="M1" sqref="M1"/>
    </sheetView>
  </sheetViews>
  <sheetFormatPr baseColWidth="10" defaultColWidth="19.83203125" defaultRowHeight="15" x14ac:dyDescent="0.2"/>
  <cols>
    <col min="1" max="1" width="9.83203125" customWidth="1"/>
    <col min="2" max="2" width="11.5" customWidth="1"/>
    <col min="3" max="3" width="18.6640625" customWidth="1"/>
    <col min="4" max="4" width="24.33203125" customWidth="1"/>
    <col min="5" max="5" width="43.6640625" bestFit="1" customWidth="1"/>
    <col min="6" max="6" width="63.1640625" customWidth="1"/>
    <col min="7" max="7" width="23.1640625" customWidth="1"/>
    <col min="8" max="8" width="13.1640625" customWidth="1"/>
    <col min="9" max="9" width="13.33203125" customWidth="1"/>
    <col min="10" max="10" width="14.1640625" customWidth="1"/>
    <col min="11" max="11" width="15.1640625" customWidth="1"/>
    <col min="12" max="12" width="24.6640625" customWidth="1"/>
  </cols>
  <sheetData>
    <row r="1" spans="1:12" x14ac:dyDescent="0.2">
      <c r="A1" s="1" t="s">
        <v>135</v>
      </c>
      <c r="B1" s="1" t="s">
        <v>136</v>
      </c>
      <c r="C1" s="1" t="s">
        <v>138</v>
      </c>
      <c r="D1" s="1" t="s">
        <v>137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</row>
    <row r="2" spans="1:12" x14ac:dyDescent="0.2">
      <c r="A2" t="s">
        <v>38</v>
      </c>
      <c r="B2" t="s">
        <v>9</v>
      </c>
      <c r="C2" t="s">
        <v>19</v>
      </c>
      <c r="D2" t="s">
        <v>22</v>
      </c>
      <c r="E2" t="s">
        <v>28</v>
      </c>
      <c r="F2" t="s">
        <v>31</v>
      </c>
      <c r="G2" t="s">
        <v>34</v>
      </c>
      <c r="H2" t="s">
        <v>34</v>
      </c>
      <c r="I2" t="s">
        <v>34</v>
      </c>
      <c r="J2" t="s">
        <v>147</v>
      </c>
      <c r="K2" t="s">
        <v>148</v>
      </c>
      <c r="L2" t="s">
        <v>149</v>
      </c>
    </row>
    <row r="3" spans="1:12" x14ac:dyDescent="0.2">
      <c r="A3" t="s">
        <v>39</v>
      </c>
      <c r="B3" t="s">
        <v>3</v>
      </c>
      <c r="C3" t="s">
        <v>18</v>
      </c>
      <c r="D3" t="s">
        <v>22</v>
      </c>
      <c r="E3" t="s">
        <v>28</v>
      </c>
      <c r="F3" t="s">
        <v>31</v>
      </c>
      <c r="G3" t="s">
        <v>34</v>
      </c>
      <c r="H3" t="s">
        <v>34</v>
      </c>
      <c r="I3" t="s">
        <v>34</v>
      </c>
      <c r="J3" t="s">
        <v>147</v>
      </c>
      <c r="K3" t="s">
        <v>148</v>
      </c>
      <c r="L3" t="s">
        <v>149</v>
      </c>
    </row>
    <row r="4" spans="1:12" x14ac:dyDescent="0.2">
      <c r="A4" t="s">
        <v>40</v>
      </c>
      <c r="B4" t="s">
        <v>4</v>
      </c>
      <c r="C4" t="s">
        <v>19</v>
      </c>
      <c r="D4" t="s">
        <v>22</v>
      </c>
      <c r="E4" t="s">
        <v>29</v>
      </c>
      <c r="F4" t="s">
        <v>31</v>
      </c>
      <c r="G4" t="s">
        <v>34</v>
      </c>
      <c r="H4" t="s">
        <v>34</v>
      </c>
      <c r="I4" t="s">
        <v>34</v>
      </c>
      <c r="J4" t="s">
        <v>150</v>
      </c>
      <c r="K4" t="s">
        <v>148</v>
      </c>
      <c r="L4" t="s">
        <v>149</v>
      </c>
    </row>
    <row r="5" spans="1:12" x14ac:dyDescent="0.2">
      <c r="A5" t="s">
        <v>41</v>
      </c>
      <c r="B5" t="s">
        <v>10</v>
      </c>
      <c r="C5" t="s">
        <v>19</v>
      </c>
      <c r="D5" t="s">
        <v>23</v>
      </c>
      <c r="E5" t="s">
        <v>28</v>
      </c>
      <c r="F5" t="s">
        <v>31</v>
      </c>
      <c r="G5" t="s">
        <v>35</v>
      </c>
      <c r="H5" t="s">
        <v>34</v>
      </c>
      <c r="I5" t="s">
        <v>34</v>
      </c>
      <c r="J5" t="s">
        <v>150</v>
      </c>
      <c r="K5" t="s">
        <v>148</v>
      </c>
      <c r="L5" t="s">
        <v>149</v>
      </c>
    </row>
    <row r="6" spans="1:12" x14ac:dyDescent="0.2">
      <c r="A6" t="s">
        <v>42</v>
      </c>
      <c r="B6" t="s">
        <v>5</v>
      </c>
      <c r="C6" t="s">
        <v>19</v>
      </c>
      <c r="D6" t="s">
        <v>26</v>
      </c>
      <c r="E6" t="s">
        <v>28</v>
      </c>
      <c r="F6" t="s">
        <v>31</v>
      </c>
      <c r="G6" t="s">
        <v>34</v>
      </c>
      <c r="H6" t="s">
        <v>34</v>
      </c>
      <c r="I6" t="s">
        <v>34</v>
      </c>
      <c r="J6" t="s">
        <v>150</v>
      </c>
      <c r="K6" t="s">
        <v>148</v>
      </c>
      <c r="L6" t="s">
        <v>149</v>
      </c>
    </row>
    <row r="7" spans="1:12" x14ac:dyDescent="0.2">
      <c r="A7" t="s">
        <v>43</v>
      </c>
      <c r="B7" t="s">
        <v>6</v>
      </c>
      <c r="C7" t="s">
        <v>18</v>
      </c>
      <c r="D7" t="s">
        <v>22</v>
      </c>
      <c r="E7" t="s">
        <v>28</v>
      </c>
      <c r="F7" t="s">
        <v>31</v>
      </c>
      <c r="G7" t="s">
        <v>34</v>
      </c>
      <c r="H7" t="s">
        <v>34</v>
      </c>
      <c r="I7" t="s">
        <v>35</v>
      </c>
      <c r="J7" t="s">
        <v>150</v>
      </c>
      <c r="K7" t="s">
        <v>148</v>
      </c>
      <c r="L7" t="s">
        <v>149</v>
      </c>
    </row>
    <row r="8" spans="1:12" x14ac:dyDescent="0.2">
      <c r="A8" t="s">
        <v>44</v>
      </c>
      <c r="B8" t="s">
        <v>5</v>
      </c>
      <c r="C8" t="s">
        <v>18</v>
      </c>
      <c r="D8" t="s">
        <v>23</v>
      </c>
      <c r="E8" t="s">
        <v>28</v>
      </c>
      <c r="F8" t="s">
        <v>31</v>
      </c>
      <c r="G8" t="s">
        <v>34</v>
      </c>
      <c r="H8" t="s">
        <v>34</v>
      </c>
      <c r="I8" t="s">
        <v>34</v>
      </c>
      <c r="J8" t="s">
        <v>150</v>
      </c>
      <c r="K8" t="s">
        <v>148</v>
      </c>
      <c r="L8" t="s">
        <v>149</v>
      </c>
    </row>
    <row r="9" spans="1:12" x14ac:dyDescent="0.2">
      <c r="A9" t="s">
        <v>45</v>
      </c>
      <c r="B9" t="s">
        <v>5</v>
      </c>
      <c r="C9" t="s">
        <v>18</v>
      </c>
      <c r="D9" t="s">
        <v>23</v>
      </c>
      <c r="E9" t="s">
        <v>28</v>
      </c>
      <c r="F9" t="s">
        <v>31</v>
      </c>
      <c r="G9" t="s">
        <v>34</v>
      </c>
      <c r="H9" t="s">
        <v>34</v>
      </c>
      <c r="I9" t="s">
        <v>34</v>
      </c>
      <c r="J9" t="s">
        <v>150</v>
      </c>
      <c r="K9" t="s">
        <v>148</v>
      </c>
      <c r="L9" t="s">
        <v>149</v>
      </c>
    </row>
    <row r="10" spans="1:12" x14ac:dyDescent="0.2">
      <c r="A10" t="s">
        <v>46</v>
      </c>
      <c r="B10" t="s">
        <v>4</v>
      </c>
      <c r="C10" t="s">
        <v>18</v>
      </c>
      <c r="D10" t="s">
        <v>22</v>
      </c>
      <c r="E10" t="s">
        <v>28</v>
      </c>
      <c r="F10" t="s">
        <v>31</v>
      </c>
      <c r="G10" t="s">
        <v>34</v>
      </c>
      <c r="H10" t="s">
        <v>34</v>
      </c>
      <c r="I10" t="s">
        <v>34</v>
      </c>
      <c r="J10" t="s">
        <v>151</v>
      </c>
      <c r="K10" t="s">
        <v>148</v>
      </c>
      <c r="L10" t="s">
        <v>149</v>
      </c>
    </row>
    <row r="11" spans="1:12" x14ac:dyDescent="0.2">
      <c r="A11" t="s">
        <v>47</v>
      </c>
      <c r="B11" t="s">
        <v>11</v>
      </c>
      <c r="C11" t="s">
        <v>19</v>
      </c>
      <c r="D11" t="s">
        <v>25</v>
      </c>
      <c r="E11" t="s">
        <v>29</v>
      </c>
      <c r="F11" t="s">
        <v>32</v>
      </c>
      <c r="G11" t="s">
        <v>34</v>
      </c>
      <c r="H11" t="s">
        <v>34</v>
      </c>
      <c r="I11" t="s">
        <v>35</v>
      </c>
      <c r="J11" t="s">
        <v>151</v>
      </c>
      <c r="K11" t="s">
        <v>152</v>
      </c>
      <c r="L11" t="s">
        <v>153</v>
      </c>
    </row>
    <row r="12" spans="1:12" x14ac:dyDescent="0.2">
      <c r="A12" t="s">
        <v>48</v>
      </c>
      <c r="B12" t="s">
        <v>14</v>
      </c>
      <c r="C12" t="s">
        <v>18</v>
      </c>
      <c r="D12" t="s">
        <v>22</v>
      </c>
      <c r="E12" t="s">
        <v>28</v>
      </c>
      <c r="F12" t="s">
        <v>31</v>
      </c>
      <c r="G12" t="s">
        <v>34</v>
      </c>
      <c r="H12" t="s">
        <v>34</v>
      </c>
      <c r="I12" t="s">
        <v>34</v>
      </c>
      <c r="J12" t="s">
        <v>154</v>
      </c>
      <c r="K12" t="s">
        <v>148</v>
      </c>
      <c r="L12" t="s">
        <v>149</v>
      </c>
    </row>
    <row r="13" spans="1:12" x14ac:dyDescent="0.2">
      <c r="A13" t="s">
        <v>49</v>
      </c>
      <c r="B13" t="s">
        <v>15</v>
      </c>
      <c r="C13" t="s">
        <v>19</v>
      </c>
      <c r="D13" t="s">
        <v>22</v>
      </c>
      <c r="E13" t="s">
        <v>28</v>
      </c>
      <c r="F13" t="s">
        <v>31</v>
      </c>
      <c r="G13" t="s">
        <v>34</v>
      </c>
      <c r="H13" t="s">
        <v>34</v>
      </c>
      <c r="I13" t="s">
        <v>34</v>
      </c>
      <c r="J13" t="s">
        <v>154</v>
      </c>
      <c r="K13" t="s">
        <v>148</v>
      </c>
      <c r="L13" t="s">
        <v>149</v>
      </c>
    </row>
    <row r="14" spans="1:12" x14ac:dyDescent="0.2">
      <c r="A14" t="s">
        <v>50</v>
      </c>
      <c r="B14" t="s">
        <v>5</v>
      </c>
      <c r="C14" t="s">
        <v>18</v>
      </c>
      <c r="D14" t="s">
        <v>22</v>
      </c>
      <c r="E14" t="s">
        <v>29</v>
      </c>
      <c r="F14" t="s">
        <v>32</v>
      </c>
      <c r="G14" t="s">
        <v>35</v>
      </c>
      <c r="H14" t="s">
        <v>34</v>
      </c>
      <c r="I14" t="s">
        <v>35</v>
      </c>
      <c r="J14" t="s">
        <v>151</v>
      </c>
      <c r="K14" t="s">
        <v>148</v>
      </c>
      <c r="L14" t="s">
        <v>149</v>
      </c>
    </row>
    <row r="15" spans="1:12" x14ac:dyDescent="0.2">
      <c r="A15" t="s">
        <v>51</v>
      </c>
      <c r="B15" t="s">
        <v>15</v>
      </c>
      <c r="C15" t="s">
        <v>19</v>
      </c>
      <c r="D15" t="s">
        <v>24</v>
      </c>
      <c r="E15" t="s">
        <v>28</v>
      </c>
      <c r="F15" t="s">
        <v>31</v>
      </c>
      <c r="G15" t="s">
        <v>34</v>
      </c>
      <c r="H15" t="s">
        <v>35</v>
      </c>
      <c r="I15" t="s">
        <v>34</v>
      </c>
      <c r="J15" t="s">
        <v>155</v>
      </c>
      <c r="K15" t="s">
        <v>156</v>
      </c>
      <c r="L15" t="s">
        <v>149</v>
      </c>
    </row>
    <row r="16" spans="1:12" x14ac:dyDescent="0.2">
      <c r="A16" t="s">
        <v>52</v>
      </c>
      <c r="B16" t="s">
        <v>11</v>
      </c>
      <c r="C16" t="s">
        <v>18</v>
      </c>
      <c r="D16" t="s">
        <v>23</v>
      </c>
      <c r="E16" t="s">
        <v>28</v>
      </c>
      <c r="F16" t="s">
        <v>31</v>
      </c>
      <c r="G16" t="s">
        <v>34</v>
      </c>
      <c r="H16" t="s">
        <v>35</v>
      </c>
      <c r="I16" t="s">
        <v>34</v>
      </c>
      <c r="J16" t="s">
        <v>155</v>
      </c>
      <c r="K16" t="s">
        <v>156</v>
      </c>
      <c r="L16" t="s">
        <v>149</v>
      </c>
    </row>
    <row r="17" spans="1:12" x14ac:dyDescent="0.2">
      <c r="A17" t="s">
        <v>53</v>
      </c>
      <c r="B17" t="s">
        <v>10</v>
      </c>
      <c r="C17" t="s">
        <v>19</v>
      </c>
      <c r="D17" t="s">
        <v>23</v>
      </c>
      <c r="E17" t="s">
        <v>28</v>
      </c>
      <c r="F17" t="s">
        <v>31</v>
      </c>
      <c r="G17" t="s">
        <v>34</v>
      </c>
      <c r="H17" t="s">
        <v>34</v>
      </c>
      <c r="I17" t="s">
        <v>35</v>
      </c>
      <c r="J17" t="s">
        <v>150</v>
      </c>
      <c r="K17" t="s">
        <v>148</v>
      </c>
      <c r="L17" t="s">
        <v>149</v>
      </c>
    </row>
    <row r="18" spans="1:12" x14ac:dyDescent="0.2">
      <c r="A18" t="s">
        <v>54</v>
      </c>
      <c r="B18" t="s">
        <v>6</v>
      </c>
      <c r="C18" t="s">
        <v>18</v>
      </c>
      <c r="D18" t="s">
        <v>27</v>
      </c>
      <c r="E18" t="s">
        <v>29</v>
      </c>
      <c r="F18" t="s">
        <v>31</v>
      </c>
      <c r="G18" t="s">
        <v>34</v>
      </c>
      <c r="H18" t="s">
        <v>35</v>
      </c>
      <c r="I18" t="s">
        <v>35</v>
      </c>
      <c r="J18" t="s">
        <v>154</v>
      </c>
      <c r="K18" t="s">
        <v>148</v>
      </c>
      <c r="L18" t="s">
        <v>149</v>
      </c>
    </row>
    <row r="19" spans="1:12" x14ac:dyDescent="0.2">
      <c r="A19" t="s">
        <v>55</v>
      </c>
      <c r="B19" t="s">
        <v>9</v>
      </c>
      <c r="C19" t="s">
        <v>19</v>
      </c>
      <c r="D19" t="s">
        <v>23</v>
      </c>
      <c r="E19" t="s">
        <v>28</v>
      </c>
      <c r="F19" t="s">
        <v>31</v>
      </c>
      <c r="G19" t="s">
        <v>34</v>
      </c>
      <c r="H19" t="s">
        <v>35</v>
      </c>
      <c r="I19" t="s">
        <v>34</v>
      </c>
      <c r="J19" t="s">
        <v>155</v>
      </c>
      <c r="K19" t="s">
        <v>157</v>
      </c>
      <c r="L19" t="s">
        <v>149</v>
      </c>
    </row>
    <row r="20" spans="1:12" x14ac:dyDescent="0.2">
      <c r="A20" t="s">
        <v>56</v>
      </c>
      <c r="B20" t="s">
        <v>4</v>
      </c>
      <c r="C20" t="s">
        <v>21</v>
      </c>
      <c r="D20" t="s">
        <v>22</v>
      </c>
      <c r="E20" t="s">
        <v>30</v>
      </c>
      <c r="F20" t="s">
        <v>1</v>
      </c>
      <c r="G20" t="s">
        <v>34</v>
      </c>
      <c r="H20" t="s">
        <v>34</v>
      </c>
      <c r="I20" t="s">
        <v>35</v>
      </c>
      <c r="J20" t="s">
        <v>151</v>
      </c>
      <c r="K20" t="s">
        <v>158</v>
      </c>
      <c r="L20" t="s">
        <v>149</v>
      </c>
    </row>
    <row r="21" spans="1:12" x14ac:dyDescent="0.2">
      <c r="A21" t="s">
        <v>57</v>
      </c>
      <c r="B21" t="s">
        <v>6</v>
      </c>
      <c r="C21" t="s">
        <v>18</v>
      </c>
      <c r="D21" t="s">
        <v>22</v>
      </c>
      <c r="E21" t="s">
        <v>29</v>
      </c>
      <c r="F21" t="s">
        <v>31</v>
      </c>
      <c r="G21" t="s">
        <v>35</v>
      </c>
      <c r="H21" t="s">
        <v>34</v>
      </c>
      <c r="I21" t="s">
        <v>34</v>
      </c>
      <c r="J21" t="s">
        <v>151</v>
      </c>
      <c r="K21" t="s">
        <v>159</v>
      </c>
      <c r="L21" t="s">
        <v>160</v>
      </c>
    </row>
    <row r="22" spans="1:12" x14ac:dyDescent="0.2">
      <c r="A22" t="s">
        <v>58</v>
      </c>
      <c r="B22" t="s">
        <v>9</v>
      </c>
      <c r="C22" t="s">
        <v>19</v>
      </c>
      <c r="D22" t="s">
        <v>22</v>
      </c>
      <c r="E22" t="s">
        <v>29</v>
      </c>
      <c r="F22" t="s">
        <v>32</v>
      </c>
      <c r="G22" t="s">
        <v>34</v>
      </c>
      <c r="H22" t="s">
        <v>34</v>
      </c>
      <c r="I22" t="s">
        <v>35</v>
      </c>
      <c r="J22" t="s">
        <v>147</v>
      </c>
      <c r="K22" t="s">
        <v>161</v>
      </c>
      <c r="L22" t="s">
        <v>153</v>
      </c>
    </row>
    <row r="23" spans="1:12" x14ac:dyDescent="0.2">
      <c r="A23" t="s">
        <v>59</v>
      </c>
      <c r="B23" t="s">
        <v>14</v>
      </c>
      <c r="C23" t="s">
        <v>18</v>
      </c>
      <c r="D23" t="s">
        <v>22</v>
      </c>
      <c r="E23" t="s">
        <v>29</v>
      </c>
      <c r="F23" t="s">
        <v>33</v>
      </c>
      <c r="G23" t="s">
        <v>34</v>
      </c>
      <c r="H23" t="s">
        <v>34</v>
      </c>
      <c r="I23" t="s">
        <v>35</v>
      </c>
      <c r="J23" t="s">
        <v>151</v>
      </c>
      <c r="K23" t="s">
        <v>158</v>
      </c>
      <c r="L23" t="s">
        <v>149</v>
      </c>
    </row>
    <row r="24" spans="1:12" x14ac:dyDescent="0.2">
      <c r="A24" t="s">
        <v>60</v>
      </c>
      <c r="B24" t="s">
        <v>14</v>
      </c>
      <c r="C24" t="s">
        <v>18</v>
      </c>
      <c r="D24" t="s">
        <v>23</v>
      </c>
      <c r="E24" t="s">
        <v>29</v>
      </c>
      <c r="F24" t="s">
        <v>33</v>
      </c>
      <c r="G24" t="s">
        <v>34</v>
      </c>
      <c r="H24" t="s">
        <v>35</v>
      </c>
      <c r="I24" t="s">
        <v>34</v>
      </c>
      <c r="J24" t="s">
        <v>147</v>
      </c>
      <c r="K24" t="s">
        <v>162</v>
      </c>
      <c r="L24" t="s">
        <v>163</v>
      </c>
    </row>
    <row r="25" spans="1:12" x14ac:dyDescent="0.2">
      <c r="A25" t="s">
        <v>61</v>
      </c>
      <c r="B25" t="s">
        <v>12</v>
      </c>
      <c r="C25" t="s">
        <v>19</v>
      </c>
      <c r="D25" t="s">
        <v>22</v>
      </c>
      <c r="E25" t="s">
        <v>30</v>
      </c>
      <c r="F25" t="s">
        <v>1</v>
      </c>
      <c r="G25" t="s">
        <v>35</v>
      </c>
      <c r="H25" t="s">
        <v>34</v>
      </c>
      <c r="I25" t="s">
        <v>35</v>
      </c>
      <c r="J25" t="s">
        <v>151</v>
      </c>
      <c r="K25" t="s">
        <v>164</v>
      </c>
      <c r="L25" t="s">
        <v>149</v>
      </c>
    </row>
    <row r="26" spans="1:12" x14ac:dyDescent="0.2">
      <c r="A26" t="s">
        <v>62</v>
      </c>
      <c r="B26" t="s">
        <v>6</v>
      </c>
      <c r="C26" t="s">
        <v>19</v>
      </c>
      <c r="D26" t="s">
        <v>22</v>
      </c>
      <c r="E26" t="s">
        <v>29</v>
      </c>
      <c r="F26" t="s">
        <v>31</v>
      </c>
      <c r="G26" t="s">
        <v>34</v>
      </c>
      <c r="H26" t="s">
        <v>34</v>
      </c>
      <c r="I26" t="s">
        <v>34</v>
      </c>
      <c r="J26" t="s">
        <v>151</v>
      </c>
      <c r="K26" t="s">
        <v>165</v>
      </c>
      <c r="L26" t="s">
        <v>166</v>
      </c>
    </row>
    <row r="27" spans="1:12" x14ac:dyDescent="0.2">
      <c r="A27" t="s">
        <v>63</v>
      </c>
      <c r="B27" t="s">
        <v>3</v>
      </c>
      <c r="C27" t="s">
        <v>21</v>
      </c>
      <c r="D27" t="s">
        <v>22</v>
      </c>
      <c r="E27" t="s">
        <v>30</v>
      </c>
      <c r="F27" t="s">
        <v>1</v>
      </c>
      <c r="G27" t="s">
        <v>34</v>
      </c>
      <c r="H27" t="s">
        <v>34</v>
      </c>
      <c r="I27" t="s">
        <v>35</v>
      </c>
      <c r="J27" t="s">
        <v>151</v>
      </c>
      <c r="K27" t="s">
        <v>167</v>
      </c>
      <c r="L27" t="s">
        <v>163</v>
      </c>
    </row>
    <row r="28" spans="1:12" x14ac:dyDescent="0.2">
      <c r="A28" t="s">
        <v>64</v>
      </c>
      <c r="B28" t="s">
        <v>6</v>
      </c>
      <c r="C28" t="s">
        <v>18</v>
      </c>
      <c r="D28" t="s">
        <v>22</v>
      </c>
      <c r="E28" t="s">
        <v>29</v>
      </c>
      <c r="F28" t="s">
        <v>31</v>
      </c>
      <c r="G28" t="s">
        <v>35</v>
      </c>
      <c r="H28" t="s">
        <v>34</v>
      </c>
      <c r="I28" t="s">
        <v>35</v>
      </c>
      <c r="J28" t="s">
        <v>151</v>
      </c>
      <c r="K28" t="s">
        <v>168</v>
      </c>
      <c r="L28" t="s">
        <v>153</v>
      </c>
    </row>
    <row r="29" spans="1:12" x14ac:dyDescent="0.2">
      <c r="A29" t="s">
        <v>66</v>
      </c>
      <c r="B29" t="s">
        <v>15</v>
      </c>
      <c r="C29" t="s">
        <v>19</v>
      </c>
      <c r="D29" t="s">
        <v>23</v>
      </c>
      <c r="E29" t="s">
        <v>28</v>
      </c>
      <c r="F29" t="s">
        <v>31</v>
      </c>
      <c r="G29" t="s">
        <v>34</v>
      </c>
      <c r="H29" t="s">
        <v>34</v>
      </c>
      <c r="I29" t="s">
        <v>35</v>
      </c>
      <c r="J29" t="s">
        <v>147</v>
      </c>
      <c r="K29" t="s">
        <v>169</v>
      </c>
      <c r="L29" t="s">
        <v>149</v>
      </c>
    </row>
    <row r="30" spans="1:12" x14ac:dyDescent="0.2">
      <c r="A30" t="s">
        <v>65</v>
      </c>
      <c r="B30" t="s">
        <v>14</v>
      </c>
      <c r="C30" t="s">
        <v>18</v>
      </c>
      <c r="D30" t="s">
        <v>22</v>
      </c>
      <c r="E30" t="s">
        <v>29</v>
      </c>
      <c r="F30" t="s">
        <v>32</v>
      </c>
      <c r="G30" t="s">
        <v>34</v>
      </c>
      <c r="H30" t="s">
        <v>35</v>
      </c>
      <c r="I30" t="s">
        <v>34</v>
      </c>
      <c r="J30" t="s">
        <v>155</v>
      </c>
      <c r="K30" t="s">
        <v>157</v>
      </c>
      <c r="L30" t="s">
        <v>149</v>
      </c>
    </row>
    <row r="31" spans="1:12" x14ac:dyDescent="0.2">
      <c r="A31" t="s">
        <v>67</v>
      </c>
      <c r="B31" t="s">
        <v>7</v>
      </c>
      <c r="C31" t="s">
        <v>19</v>
      </c>
      <c r="D31" t="s">
        <v>22</v>
      </c>
      <c r="E31" t="s">
        <v>28</v>
      </c>
      <c r="F31" t="s">
        <v>31</v>
      </c>
      <c r="G31" t="s">
        <v>34</v>
      </c>
      <c r="H31" t="s">
        <v>34</v>
      </c>
      <c r="I31" t="s">
        <v>35</v>
      </c>
      <c r="J31" t="s">
        <v>147</v>
      </c>
      <c r="K31" t="s">
        <v>170</v>
      </c>
      <c r="L31" t="s">
        <v>166</v>
      </c>
    </row>
    <row r="32" spans="1:12" x14ac:dyDescent="0.2">
      <c r="A32" t="s">
        <v>68</v>
      </c>
      <c r="B32" t="s">
        <v>6</v>
      </c>
      <c r="C32" t="s">
        <v>18</v>
      </c>
      <c r="D32" t="s">
        <v>22</v>
      </c>
      <c r="E32" t="s">
        <v>29</v>
      </c>
      <c r="F32" t="s">
        <v>32</v>
      </c>
      <c r="G32" t="s">
        <v>35</v>
      </c>
      <c r="H32" t="s">
        <v>34</v>
      </c>
      <c r="I32" t="s">
        <v>34</v>
      </c>
      <c r="J32" t="s">
        <v>147</v>
      </c>
      <c r="K32" t="s">
        <v>171</v>
      </c>
      <c r="L32" t="s">
        <v>149</v>
      </c>
    </row>
    <row r="33" spans="1:12" x14ac:dyDescent="0.2">
      <c r="A33" t="s">
        <v>69</v>
      </c>
      <c r="B33" t="s">
        <v>13</v>
      </c>
      <c r="C33" t="s">
        <v>19</v>
      </c>
      <c r="D33" t="s">
        <v>22</v>
      </c>
      <c r="E33" t="s">
        <v>28</v>
      </c>
      <c r="F33" t="s">
        <v>31</v>
      </c>
      <c r="G33" t="s">
        <v>34</v>
      </c>
      <c r="H33" t="s">
        <v>34</v>
      </c>
      <c r="I33" t="s">
        <v>34</v>
      </c>
      <c r="J33" t="s">
        <v>147</v>
      </c>
      <c r="K33" t="s">
        <v>172</v>
      </c>
      <c r="L33" t="s">
        <v>149</v>
      </c>
    </row>
    <row r="34" spans="1:12" x14ac:dyDescent="0.2">
      <c r="A34" t="s">
        <v>70</v>
      </c>
      <c r="B34" t="s">
        <v>12</v>
      </c>
      <c r="C34" t="s">
        <v>19</v>
      </c>
      <c r="D34" t="s">
        <v>23</v>
      </c>
      <c r="E34" t="s">
        <v>29</v>
      </c>
      <c r="F34" t="s">
        <v>33</v>
      </c>
      <c r="G34" t="s">
        <v>34</v>
      </c>
      <c r="H34" t="s">
        <v>34</v>
      </c>
      <c r="I34" t="s">
        <v>35</v>
      </c>
      <c r="J34" t="s">
        <v>151</v>
      </c>
      <c r="K34" t="s">
        <v>173</v>
      </c>
      <c r="L34" t="s">
        <v>153</v>
      </c>
    </row>
    <row r="35" spans="1:12" x14ac:dyDescent="0.2">
      <c r="A35" t="s">
        <v>71</v>
      </c>
      <c r="B35" t="s">
        <v>12</v>
      </c>
      <c r="C35" t="s">
        <v>18</v>
      </c>
      <c r="D35" t="s">
        <v>22</v>
      </c>
      <c r="E35" t="s">
        <v>29</v>
      </c>
      <c r="F35" t="s">
        <v>31</v>
      </c>
      <c r="G35" t="s">
        <v>34</v>
      </c>
      <c r="H35" t="s">
        <v>35</v>
      </c>
      <c r="I35" t="s">
        <v>34</v>
      </c>
      <c r="J35" t="s">
        <v>147</v>
      </c>
      <c r="K35" t="s">
        <v>171</v>
      </c>
      <c r="L35" t="s">
        <v>149</v>
      </c>
    </row>
    <row r="36" spans="1:12" x14ac:dyDescent="0.2">
      <c r="A36" t="s">
        <v>72</v>
      </c>
      <c r="B36" t="s">
        <v>3</v>
      </c>
      <c r="C36" t="s">
        <v>19</v>
      </c>
      <c r="D36" t="s">
        <v>2</v>
      </c>
      <c r="E36" t="s">
        <v>29</v>
      </c>
      <c r="F36" t="s">
        <v>31</v>
      </c>
      <c r="G36" t="s">
        <v>35</v>
      </c>
      <c r="H36" t="s">
        <v>34</v>
      </c>
      <c r="I36" t="s">
        <v>35</v>
      </c>
      <c r="J36" t="s">
        <v>151</v>
      </c>
      <c r="K36" t="s">
        <v>174</v>
      </c>
      <c r="L36" t="s">
        <v>153</v>
      </c>
    </row>
    <row r="37" spans="1:12" x14ac:dyDescent="0.2">
      <c r="A37" t="s">
        <v>73</v>
      </c>
      <c r="B37" t="s">
        <v>10</v>
      </c>
      <c r="C37" t="s">
        <v>19</v>
      </c>
      <c r="D37" t="s">
        <v>23</v>
      </c>
      <c r="E37" t="s">
        <v>28</v>
      </c>
      <c r="F37" t="s">
        <v>31</v>
      </c>
      <c r="G37" t="s">
        <v>34</v>
      </c>
      <c r="H37" t="s">
        <v>34</v>
      </c>
      <c r="I37" t="s">
        <v>35</v>
      </c>
      <c r="J37" t="s">
        <v>147</v>
      </c>
      <c r="K37" t="s">
        <v>175</v>
      </c>
      <c r="L37" t="s">
        <v>149</v>
      </c>
    </row>
    <row r="38" spans="1:12" x14ac:dyDescent="0.2">
      <c r="A38" t="s">
        <v>74</v>
      </c>
      <c r="B38" t="s">
        <v>17</v>
      </c>
      <c r="C38" t="s">
        <v>18</v>
      </c>
      <c r="D38" t="s">
        <v>23</v>
      </c>
      <c r="E38" t="s">
        <v>28</v>
      </c>
      <c r="F38" t="s">
        <v>31</v>
      </c>
      <c r="G38" t="s">
        <v>34</v>
      </c>
      <c r="H38" t="s">
        <v>34</v>
      </c>
      <c r="I38" t="s">
        <v>34</v>
      </c>
      <c r="J38" t="s">
        <v>147</v>
      </c>
      <c r="K38" t="s">
        <v>175</v>
      </c>
      <c r="L38" t="s">
        <v>149</v>
      </c>
    </row>
    <row r="39" spans="1:12" x14ac:dyDescent="0.2">
      <c r="A39" t="s">
        <v>75</v>
      </c>
      <c r="B39" t="s">
        <v>11</v>
      </c>
      <c r="C39" t="s">
        <v>19</v>
      </c>
      <c r="D39" t="s">
        <v>22</v>
      </c>
      <c r="E39" t="s">
        <v>29</v>
      </c>
      <c r="F39" t="s">
        <v>33</v>
      </c>
      <c r="G39" t="s">
        <v>34</v>
      </c>
      <c r="H39" t="s">
        <v>34</v>
      </c>
      <c r="I39" t="s">
        <v>34</v>
      </c>
      <c r="J39" t="s">
        <v>147</v>
      </c>
      <c r="K39" t="s">
        <v>176</v>
      </c>
      <c r="L39" t="s">
        <v>163</v>
      </c>
    </row>
    <row r="40" spans="1:12" x14ac:dyDescent="0.2">
      <c r="A40" t="s">
        <v>76</v>
      </c>
      <c r="B40" t="s">
        <v>12</v>
      </c>
      <c r="C40" t="s">
        <v>19</v>
      </c>
      <c r="D40" t="s">
        <v>22</v>
      </c>
      <c r="E40" t="s">
        <v>28</v>
      </c>
      <c r="F40" t="s">
        <v>31</v>
      </c>
      <c r="G40" t="s">
        <v>34</v>
      </c>
      <c r="H40" t="s">
        <v>34</v>
      </c>
      <c r="I40" t="s">
        <v>35</v>
      </c>
      <c r="J40" t="s">
        <v>151</v>
      </c>
      <c r="K40" t="s">
        <v>148</v>
      </c>
      <c r="L40" t="s">
        <v>149</v>
      </c>
    </row>
    <row r="41" spans="1:12" x14ac:dyDescent="0.2">
      <c r="A41" t="s">
        <v>77</v>
      </c>
      <c r="B41" t="s">
        <v>14</v>
      </c>
      <c r="C41" t="s">
        <v>19</v>
      </c>
      <c r="D41" t="s">
        <v>22</v>
      </c>
      <c r="E41" t="s">
        <v>28</v>
      </c>
      <c r="F41" t="s">
        <v>31</v>
      </c>
      <c r="G41" t="s">
        <v>34</v>
      </c>
      <c r="H41" t="s">
        <v>34</v>
      </c>
      <c r="I41" t="s">
        <v>34</v>
      </c>
      <c r="J41" t="s">
        <v>147</v>
      </c>
      <c r="K41" t="s">
        <v>177</v>
      </c>
      <c r="L41" t="s">
        <v>166</v>
      </c>
    </row>
    <row r="42" spans="1:12" x14ac:dyDescent="0.2">
      <c r="A42" t="s">
        <v>78</v>
      </c>
      <c r="B42" t="s">
        <v>7</v>
      </c>
      <c r="C42" t="s">
        <v>18</v>
      </c>
      <c r="D42" t="s">
        <v>22</v>
      </c>
      <c r="E42" t="s">
        <v>29</v>
      </c>
      <c r="F42" t="s">
        <v>31</v>
      </c>
      <c r="G42" t="s">
        <v>34</v>
      </c>
      <c r="H42" t="s">
        <v>34</v>
      </c>
      <c r="I42" t="s">
        <v>35</v>
      </c>
      <c r="J42" t="s">
        <v>151</v>
      </c>
      <c r="K42" t="s">
        <v>178</v>
      </c>
      <c r="L42" t="s">
        <v>153</v>
      </c>
    </row>
    <row r="43" spans="1:12" x14ac:dyDescent="0.2">
      <c r="A43" t="s">
        <v>79</v>
      </c>
      <c r="B43" t="s">
        <v>6</v>
      </c>
      <c r="C43" t="s">
        <v>19</v>
      </c>
      <c r="D43" t="s">
        <v>23</v>
      </c>
      <c r="E43" t="s">
        <v>29</v>
      </c>
      <c r="F43" t="s">
        <v>33</v>
      </c>
      <c r="G43" t="s">
        <v>35</v>
      </c>
      <c r="H43" t="s">
        <v>34</v>
      </c>
      <c r="I43" t="s">
        <v>34</v>
      </c>
      <c r="J43" t="s">
        <v>151</v>
      </c>
      <c r="K43" t="s">
        <v>168</v>
      </c>
      <c r="L43" t="s">
        <v>153</v>
      </c>
    </row>
    <row r="44" spans="1:12" x14ac:dyDescent="0.2">
      <c r="A44" t="s">
        <v>80</v>
      </c>
      <c r="B44" t="s">
        <v>3</v>
      </c>
      <c r="C44" t="s">
        <v>20</v>
      </c>
      <c r="D44" t="s">
        <v>0</v>
      </c>
      <c r="E44" t="s">
        <v>29</v>
      </c>
      <c r="F44" t="s">
        <v>32</v>
      </c>
      <c r="G44" t="s">
        <v>35</v>
      </c>
      <c r="H44" t="s">
        <v>35</v>
      </c>
      <c r="I44" t="s">
        <v>34</v>
      </c>
      <c r="J44" t="s">
        <v>147</v>
      </c>
      <c r="K44" t="s">
        <v>179</v>
      </c>
      <c r="L44" t="s">
        <v>149</v>
      </c>
    </row>
    <row r="45" spans="1:12" x14ac:dyDescent="0.2">
      <c r="A45" t="s">
        <v>81</v>
      </c>
      <c r="B45" t="s">
        <v>8</v>
      </c>
      <c r="C45" t="s">
        <v>19</v>
      </c>
      <c r="D45" t="s">
        <v>22</v>
      </c>
      <c r="E45" t="s">
        <v>30</v>
      </c>
      <c r="F45" t="s">
        <v>1</v>
      </c>
      <c r="G45" t="s">
        <v>34</v>
      </c>
      <c r="H45" t="s">
        <v>34</v>
      </c>
      <c r="I45" t="s">
        <v>34</v>
      </c>
      <c r="J45" t="s">
        <v>147</v>
      </c>
      <c r="K45" t="s">
        <v>148</v>
      </c>
      <c r="L45" t="s">
        <v>149</v>
      </c>
    </row>
    <row r="46" spans="1:12" x14ac:dyDescent="0.2">
      <c r="A46" t="s">
        <v>82</v>
      </c>
      <c r="B46" t="s">
        <v>7</v>
      </c>
      <c r="C46" t="s">
        <v>18</v>
      </c>
      <c r="D46" t="s">
        <v>22</v>
      </c>
      <c r="E46" t="s">
        <v>28</v>
      </c>
      <c r="F46" t="s">
        <v>31</v>
      </c>
      <c r="G46" t="s">
        <v>34</v>
      </c>
      <c r="H46" t="s">
        <v>35</v>
      </c>
      <c r="I46" t="s">
        <v>34</v>
      </c>
      <c r="J46" t="s">
        <v>155</v>
      </c>
      <c r="K46" t="s">
        <v>157</v>
      </c>
      <c r="L46" t="s">
        <v>149</v>
      </c>
    </row>
    <row r="47" spans="1:12" x14ac:dyDescent="0.2">
      <c r="A47" t="s">
        <v>83</v>
      </c>
      <c r="B47" t="s">
        <v>8</v>
      </c>
      <c r="C47" t="s">
        <v>19</v>
      </c>
      <c r="D47" t="s">
        <v>36</v>
      </c>
      <c r="E47" t="s">
        <v>28</v>
      </c>
      <c r="F47" t="s">
        <v>31</v>
      </c>
      <c r="G47" t="s">
        <v>34</v>
      </c>
      <c r="H47" t="s">
        <v>34</v>
      </c>
      <c r="I47" t="s">
        <v>35</v>
      </c>
      <c r="J47" t="s">
        <v>147</v>
      </c>
      <c r="K47" t="s">
        <v>180</v>
      </c>
      <c r="L47" t="s">
        <v>153</v>
      </c>
    </row>
    <row r="48" spans="1:12" x14ac:dyDescent="0.2">
      <c r="A48" t="s">
        <v>84</v>
      </c>
      <c r="B48" t="s">
        <v>4</v>
      </c>
      <c r="C48" t="s">
        <v>18</v>
      </c>
      <c r="D48" t="s">
        <v>23</v>
      </c>
      <c r="E48" t="s">
        <v>28</v>
      </c>
      <c r="F48" t="s">
        <v>32</v>
      </c>
      <c r="G48" t="s">
        <v>34</v>
      </c>
      <c r="H48" t="s">
        <v>34</v>
      </c>
      <c r="I48" t="s">
        <v>35</v>
      </c>
      <c r="J48" t="s">
        <v>147</v>
      </c>
      <c r="K48" t="s">
        <v>173</v>
      </c>
      <c r="L48" t="s">
        <v>153</v>
      </c>
    </row>
    <row r="49" spans="1:12" x14ac:dyDescent="0.2">
      <c r="A49" t="s">
        <v>85</v>
      </c>
      <c r="B49" t="s">
        <v>5</v>
      </c>
      <c r="C49" t="s">
        <v>19</v>
      </c>
      <c r="D49" t="s">
        <v>0</v>
      </c>
      <c r="E49" t="s">
        <v>29</v>
      </c>
      <c r="F49" t="s">
        <v>32</v>
      </c>
      <c r="G49" t="s">
        <v>34</v>
      </c>
      <c r="H49" t="s">
        <v>34</v>
      </c>
      <c r="I49" t="s">
        <v>34</v>
      </c>
      <c r="J49" t="s">
        <v>147</v>
      </c>
      <c r="K49" t="s">
        <v>174</v>
      </c>
      <c r="L49" t="s">
        <v>153</v>
      </c>
    </row>
    <row r="50" spans="1:12" x14ac:dyDescent="0.2">
      <c r="A50" t="s">
        <v>86</v>
      </c>
      <c r="B50" t="s">
        <v>4</v>
      </c>
      <c r="C50" t="s">
        <v>18</v>
      </c>
      <c r="D50" t="s">
        <v>22</v>
      </c>
      <c r="E50" t="s">
        <v>29</v>
      </c>
      <c r="F50" t="s">
        <v>31</v>
      </c>
      <c r="G50" t="s">
        <v>34</v>
      </c>
      <c r="H50" t="s">
        <v>34</v>
      </c>
      <c r="I50" t="s">
        <v>34</v>
      </c>
      <c r="J50" t="s">
        <v>154</v>
      </c>
      <c r="K50" t="s">
        <v>176</v>
      </c>
      <c r="L50" t="s">
        <v>163</v>
      </c>
    </row>
    <row r="51" spans="1:12" x14ac:dyDescent="0.2">
      <c r="A51" t="s">
        <v>87</v>
      </c>
      <c r="B51" t="s">
        <v>16</v>
      </c>
      <c r="C51" t="s">
        <v>19</v>
      </c>
      <c r="D51" t="s">
        <v>22</v>
      </c>
      <c r="E51" t="s">
        <v>29</v>
      </c>
      <c r="F51" t="s">
        <v>33</v>
      </c>
      <c r="G51" t="s">
        <v>35</v>
      </c>
      <c r="H51" t="s">
        <v>35</v>
      </c>
      <c r="I51" t="s">
        <v>34</v>
      </c>
      <c r="J51" t="s">
        <v>147</v>
      </c>
      <c r="K51" t="s">
        <v>181</v>
      </c>
      <c r="L51" t="s">
        <v>149</v>
      </c>
    </row>
    <row r="52" spans="1:12" x14ac:dyDescent="0.2">
      <c r="A52" t="s">
        <v>88</v>
      </c>
      <c r="B52" t="s">
        <v>6</v>
      </c>
      <c r="C52" t="s">
        <v>18</v>
      </c>
      <c r="D52" t="s">
        <v>22</v>
      </c>
      <c r="E52" t="s">
        <v>29</v>
      </c>
      <c r="F52" t="s">
        <v>33</v>
      </c>
      <c r="G52" t="s">
        <v>34</v>
      </c>
      <c r="H52" t="s">
        <v>34</v>
      </c>
      <c r="I52" t="s">
        <v>35</v>
      </c>
      <c r="J52" t="s">
        <v>151</v>
      </c>
      <c r="K52" t="s">
        <v>182</v>
      </c>
      <c r="L52" t="s">
        <v>166</v>
      </c>
    </row>
    <row r="53" spans="1:12" x14ac:dyDescent="0.2">
      <c r="A53" t="s">
        <v>89</v>
      </c>
      <c r="B53" t="s">
        <v>6</v>
      </c>
      <c r="C53" t="s">
        <v>18</v>
      </c>
      <c r="D53" t="s">
        <v>22</v>
      </c>
      <c r="E53" t="s">
        <v>29</v>
      </c>
      <c r="F53" t="s">
        <v>33</v>
      </c>
      <c r="G53" t="s">
        <v>34</v>
      </c>
      <c r="H53" t="s">
        <v>34</v>
      </c>
      <c r="I53" t="s">
        <v>35</v>
      </c>
      <c r="J53" t="s">
        <v>151</v>
      </c>
      <c r="K53" t="s">
        <v>182</v>
      </c>
      <c r="L53" t="s">
        <v>166</v>
      </c>
    </row>
    <row r="54" spans="1:12" x14ac:dyDescent="0.2">
      <c r="A54" t="s">
        <v>90</v>
      </c>
      <c r="B54" t="s">
        <v>5</v>
      </c>
      <c r="C54" t="s">
        <v>19</v>
      </c>
      <c r="D54" t="s">
        <v>22</v>
      </c>
      <c r="E54" t="s">
        <v>28</v>
      </c>
      <c r="F54" t="s">
        <v>31</v>
      </c>
      <c r="G54" t="s">
        <v>34</v>
      </c>
      <c r="H54" t="s">
        <v>34</v>
      </c>
      <c r="I54" t="s">
        <v>35</v>
      </c>
      <c r="J54" t="s">
        <v>147</v>
      </c>
      <c r="K54" t="s">
        <v>183</v>
      </c>
      <c r="L54" t="s">
        <v>163</v>
      </c>
    </row>
    <row r="55" spans="1:12" x14ac:dyDescent="0.2">
      <c r="A55" t="s">
        <v>91</v>
      </c>
      <c r="B55" t="s">
        <v>4</v>
      </c>
      <c r="C55" t="s">
        <v>19</v>
      </c>
      <c r="D55" t="s">
        <v>22</v>
      </c>
      <c r="E55" t="s">
        <v>28</v>
      </c>
      <c r="F55" t="s">
        <v>31</v>
      </c>
      <c r="G55" t="s">
        <v>34</v>
      </c>
      <c r="H55" t="s">
        <v>34</v>
      </c>
      <c r="I55" t="s">
        <v>35</v>
      </c>
      <c r="J55" t="s">
        <v>147</v>
      </c>
      <c r="K55" t="s">
        <v>183</v>
      </c>
      <c r="L55" t="s">
        <v>163</v>
      </c>
    </row>
    <row r="56" spans="1:12" x14ac:dyDescent="0.2">
      <c r="A56" t="s">
        <v>92</v>
      </c>
      <c r="B56" t="s">
        <v>6</v>
      </c>
      <c r="C56" t="s">
        <v>18</v>
      </c>
      <c r="D56" t="s">
        <v>22</v>
      </c>
      <c r="E56" t="s">
        <v>28</v>
      </c>
      <c r="F56" t="s">
        <v>31</v>
      </c>
      <c r="G56" t="s">
        <v>34</v>
      </c>
      <c r="H56" t="s">
        <v>34</v>
      </c>
      <c r="I56" t="s">
        <v>35</v>
      </c>
      <c r="J56" t="s">
        <v>147</v>
      </c>
      <c r="K56" t="s">
        <v>183</v>
      </c>
      <c r="L56" t="s">
        <v>163</v>
      </c>
    </row>
    <row r="57" spans="1:12" x14ac:dyDescent="0.2">
      <c r="A57" t="s">
        <v>93</v>
      </c>
      <c r="B57" t="s">
        <v>5</v>
      </c>
      <c r="C57" t="s">
        <v>19</v>
      </c>
      <c r="D57" t="s">
        <v>22</v>
      </c>
      <c r="E57" t="s">
        <v>28</v>
      </c>
      <c r="F57" t="s">
        <v>31</v>
      </c>
      <c r="G57" t="s">
        <v>34</v>
      </c>
      <c r="H57" t="s">
        <v>34</v>
      </c>
      <c r="I57" t="s">
        <v>34</v>
      </c>
      <c r="J57" t="s">
        <v>147</v>
      </c>
      <c r="K57" t="s">
        <v>178</v>
      </c>
      <c r="L57" t="s">
        <v>153</v>
      </c>
    </row>
    <row r="58" spans="1:12" x14ac:dyDescent="0.2">
      <c r="A58" t="s">
        <v>94</v>
      </c>
      <c r="B58" t="s">
        <v>3</v>
      </c>
      <c r="C58" t="s">
        <v>19</v>
      </c>
      <c r="D58" t="s">
        <v>22</v>
      </c>
      <c r="E58" t="s">
        <v>28</v>
      </c>
      <c r="F58" t="s">
        <v>31</v>
      </c>
      <c r="G58" t="s">
        <v>34</v>
      </c>
      <c r="H58" t="s">
        <v>34</v>
      </c>
      <c r="I58" t="s">
        <v>34</v>
      </c>
      <c r="J58" t="s">
        <v>147</v>
      </c>
      <c r="K58" t="s">
        <v>178</v>
      </c>
      <c r="L58" t="s">
        <v>153</v>
      </c>
    </row>
    <row r="59" spans="1:12" x14ac:dyDescent="0.2">
      <c r="A59" t="s">
        <v>95</v>
      </c>
      <c r="B59" t="s">
        <v>11</v>
      </c>
      <c r="C59" t="s">
        <v>18</v>
      </c>
      <c r="D59" t="s">
        <v>22</v>
      </c>
      <c r="E59" t="s">
        <v>29</v>
      </c>
      <c r="F59" t="s">
        <v>31</v>
      </c>
      <c r="G59" t="s">
        <v>34</v>
      </c>
      <c r="H59" t="s">
        <v>34</v>
      </c>
      <c r="I59" t="s">
        <v>34</v>
      </c>
      <c r="J59" t="s">
        <v>147</v>
      </c>
      <c r="K59" t="s">
        <v>184</v>
      </c>
      <c r="L59" t="s">
        <v>153</v>
      </c>
    </row>
    <row r="60" spans="1:12" x14ac:dyDescent="0.2">
      <c r="A60" t="s">
        <v>96</v>
      </c>
      <c r="B60" t="s">
        <v>7</v>
      </c>
      <c r="C60" t="s">
        <v>18</v>
      </c>
      <c r="D60" t="s">
        <v>23</v>
      </c>
      <c r="E60" t="s">
        <v>28</v>
      </c>
      <c r="F60" t="s">
        <v>31</v>
      </c>
      <c r="G60" t="s">
        <v>34</v>
      </c>
      <c r="H60" t="s">
        <v>34</v>
      </c>
      <c r="I60" t="s">
        <v>35</v>
      </c>
      <c r="J60" t="s">
        <v>147</v>
      </c>
      <c r="K60" t="s">
        <v>185</v>
      </c>
      <c r="L60" t="s">
        <v>160</v>
      </c>
    </row>
    <row r="61" spans="1:12" x14ac:dyDescent="0.2">
      <c r="A61" t="s">
        <v>97</v>
      </c>
      <c r="B61" t="s">
        <v>4</v>
      </c>
      <c r="C61" t="s">
        <v>18</v>
      </c>
      <c r="D61" t="s">
        <v>2</v>
      </c>
      <c r="E61" t="s">
        <v>28</v>
      </c>
      <c r="F61" t="s">
        <v>31</v>
      </c>
      <c r="G61" t="s">
        <v>34</v>
      </c>
      <c r="H61" t="s">
        <v>34</v>
      </c>
      <c r="I61" t="s">
        <v>35</v>
      </c>
      <c r="J61" t="s">
        <v>147</v>
      </c>
      <c r="K61" t="s">
        <v>185</v>
      </c>
      <c r="L61" t="s">
        <v>160</v>
      </c>
    </row>
    <row r="62" spans="1:12" x14ac:dyDescent="0.2">
      <c r="A62" t="s">
        <v>98</v>
      </c>
      <c r="B62" t="s">
        <v>11</v>
      </c>
      <c r="C62" t="s">
        <v>19</v>
      </c>
      <c r="D62" t="s">
        <v>27</v>
      </c>
      <c r="E62" t="s">
        <v>29</v>
      </c>
      <c r="F62" t="s">
        <v>32</v>
      </c>
      <c r="G62" t="s">
        <v>34</v>
      </c>
      <c r="H62" t="s">
        <v>35</v>
      </c>
      <c r="I62" t="s">
        <v>34</v>
      </c>
      <c r="J62" t="s">
        <v>155</v>
      </c>
      <c r="K62" t="s">
        <v>157</v>
      </c>
      <c r="L62" t="s">
        <v>163</v>
      </c>
    </row>
    <row r="63" spans="1:12" x14ac:dyDescent="0.2">
      <c r="A63" t="s">
        <v>99</v>
      </c>
      <c r="B63" t="s">
        <v>14</v>
      </c>
      <c r="C63" t="s">
        <v>18</v>
      </c>
      <c r="D63" t="s">
        <v>22</v>
      </c>
      <c r="E63" t="s">
        <v>29</v>
      </c>
      <c r="F63" t="s">
        <v>33</v>
      </c>
      <c r="G63" t="s">
        <v>34</v>
      </c>
      <c r="H63" t="s">
        <v>34</v>
      </c>
      <c r="I63" t="s">
        <v>34</v>
      </c>
      <c r="J63" t="s">
        <v>151</v>
      </c>
      <c r="K63" t="s">
        <v>165</v>
      </c>
      <c r="L63" t="s">
        <v>166</v>
      </c>
    </row>
    <row r="64" spans="1:12" x14ac:dyDescent="0.2">
      <c r="A64" t="s">
        <v>100</v>
      </c>
      <c r="B64" t="s">
        <v>9</v>
      </c>
      <c r="C64" t="s">
        <v>18</v>
      </c>
      <c r="D64" t="s">
        <v>22</v>
      </c>
      <c r="E64" t="s">
        <v>29</v>
      </c>
      <c r="F64" t="s">
        <v>33</v>
      </c>
      <c r="G64" t="s">
        <v>34</v>
      </c>
      <c r="H64" t="s">
        <v>34</v>
      </c>
      <c r="I64" t="s">
        <v>34</v>
      </c>
      <c r="J64" t="s">
        <v>151</v>
      </c>
      <c r="K64" t="s">
        <v>165</v>
      </c>
      <c r="L64" t="s">
        <v>166</v>
      </c>
    </row>
    <row r="65" spans="1:12" x14ac:dyDescent="0.2">
      <c r="A65" t="s">
        <v>101</v>
      </c>
      <c r="B65" t="s">
        <v>10</v>
      </c>
      <c r="C65" t="s">
        <v>18</v>
      </c>
      <c r="D65" t="s">
        <v>22</v>
      </c>
      <c r="E65" t="s">
        <v>30</v>
      </c>
      <c r="F65" t="s">
        <v>1</v>
      </c>
      <c r="G65" t="s">
        <v>34</v>
      </c>
      <c r="H65" t="s">
        <v>34</v>
      </c>
      <c r="I65" t="s">
        <v>34</v>
      </c>
      <c r="J65" t="s">
        <v>151</v>
      </c>
      <c r="K65" t="s">
        <v>165</v>
      </c>
      <c r="L65" t="s">
        <v>166</v>
      </c>
    </row>
    <row r="66" spans="1:12" x14ac:dyDescent="0.2">
      <c r="A66" t="s">
        <v>102</v>
      </c>
      <c r="B66" t="s">
        <v>11</v>
      </c>
      <c r="C66" t="s">
        <v>18</v>
      </c>
      <c r="D66" t="s">
        <v>37</v>
      </c>
      <c r="E66" t="s">
        <v>29</v>
      </c>
      <c r="F66" t="s">
        <v>32</v>
      </c>
      <c r="G66" t="s">
        <v>34</v>
      </c>
      <c r="H66" t="s">
        <v>35</v>
      </c>
      <c r="I66" t="s">
        <v>34</v>
      </c>
      <c r="J66" t="s">
        <v>147</v>
      </c>
      <c r="K66" t="s">
        <v>157</v>
      </c>
      <c r="L66" t="s">
        <v>149</v>
      </c>
    </row>
    <row r="67" spans="1:12" x14ac:dyDescent="0.2">
      <c r="A67" t="s">
        <v>103</v>
      </c>
      <c r="B67" t="s">
        <v>5</v>
      </c>
      <c r="C67" t="s">
        <v>18</v>
      </c>
      <c r="D67" t="s">
        <v>37</v>
      </c>
      <c r="E67" t="s">
        <v>29</v>
      </c>
      <c r="F67" t="s">
        <v>32</v>
      </c>
      <c r="G67" t="s">
        <v>34</v>
      </c>
      <c r="H67" t="s">
        <v>35</v>
      </c>
      <c r="I67" t="s">
        <v>34</v>
      </c>
      <c r="J67" t="s">
        <v>147</v>
      </c>
      <c r="K67" t="s">
        <v>157</v>
      </c>
      <c r="L67" t="s">
        <v>149</v>
      </c>
    </row>
    <row r="68" spans="1:12" x14ac:dyDescent="0.2">
      <c r="A68" t="s">
        <v>104</v>
      </c>
      <c r="B68" t="s">
        <v>5</v>
      </c>
      <c r="C68" t="s">
        <v>19</v>
      </c>
      <c r="D68" t="s">
        <v>37</v>
      </c>
      <c r="E68" t="s">
        <v>29</v>
      </c>
      <c r="F68" t="s">
        <v>32</v>
      </c>
      <c r="G68" t="s">
        <v>34</v>
      </c>
      <c r="H68" t="s">
        <v>35</v>
      </c>
      <c r="I68" t="s">
        <v>34</v>
      </c>
      <c r="J68" t="s">
        <v>147</v>
      </c>
      <c r="K68" t="s">
        <v>157</v>
      </c>
      <c r="L68" t="s">
        <v>149</v>
      </c>
    </row>
    <row r="69" spans="1:12" x14ac:dyDescent="0.2">
      <c r="A69" t="s">
        <v>105</v>
      </c>
      <c r="B69" t="s">
        <v>3</v>
      </c>
      <c r="C69" t="s">
        <v>19</v>
      </c>
      <c r="D69" t="s">
        <v>22</v>
      </c>
      <c r="E69" t="s">
        <v>29</v>
      </c>
      <c r="F69" t="s">
        <v>32</v>
      </c>
      <c r="G69" t="s">
        <v>34</v>
      </c>
      <c r="H69" t="s">
        <v>34</v>
      </c>
      <c r="I69" t="s">
        <v>35</v>
      </c>
      <c r="J69" t="s">
        <v>154</v>
      </c>
      <c r="K69" t="s">
        <v>186</v>
      </c>
      <c r="L69" t="s">
        <v>153</v>
      </c>
    </row>
    <row r="70" spans="1:12" x14ac:dyDescent="0.2">
      <c r="A70" t="s">
        <v>106</v>
      </c>
      <c r="B70" t="s">
        <v>3</v>
      </c>
      <c r="C70" t="s">
        <v>18</v>
      </c>
      <c r="D70" t="s">
        <v>22</v>
      </c>
      <c r="E70" t="s">
        <v>29</v>
      </c>
      <c r="F70" t="s">
        <v>32</v>
      </c>
      <c r="G70" t="s">
        <v>34</v>
      </c>
      <c r="H70" t="s">
        <v>34</v>
      </c>
      <c r="I70" t="s">
        <v>35</v>
      </c>
      <c r="J70" t="s">
        <v>154</v>
      </c>
      <c r="K70" t="s">
        <v>186</v>
      </c>
      <c r="L70" t="s">
        <v>153</v>
      </c>
    </row>
    <row r="71" spans="1:12" x14ac:dyDescent="0.2">
      <c r="A71" t="s">
        <v>107</v>
      </c>
      <c r="B71" t="s">
        <v>12</v>
      </c>
      <c r="C71" t="s">
        <v>18</v>
      </c>
      <c r="D71" t="s">
        <v>22</v>
      </c>
      <c r="E71" t="s">
        <v>28</v>
      </c>
      <c r="F71" t="s">
        <v>31</v>
      </c>
      <c r="G71" t="s">
        <v>34</v>
      </c>
      <c r="H71" t="s">
        <v>35</v>
      </c>
      <c r="I71" t="s">
        <v>35</v>
      </c>
      <c r="J71" t="s">
        <v>147</v>
      </c>
      <c r="K71" t="s">
        <v>176</v>
      </c>
      <c r="L71" t="s">
        <v>163</v>
      </c>
    </row>
    <row r="72" spans="1:12" x14ac:dyDescent="0.2">
      <c r="A72" t="s">
        <v>108</v>
      </c>
      <c r="B72" t="s">
        <v>3</v>
      </c>
      <c r="C72" t="s">
        <v>18</v>
      </c>
      <c r="D72" t="s">
        <v>22</v>
      </c>
      <c r="E72" t="s">
        <v>29</v>
      </c>
      <c r="F72" t="s">
        <v>33</v>
      </c>
      <c r="G72" t="s">
        <v>34</v>
      </c>
      <c r="H72" t="s">
        <v>34</v>
      </c>
      <c r="I72" t="s">
        <v>35</v>
      </c>
      <c r="J72" t="s">
        <v>151</v>
      </c>
      <c r="K72" t="s">
        <v>187</v>
      </c>
      <c r="L72" t="s">
        <v>166</v>
      </c>
    </row>
    <row r="73" spans="1:12" x14ac:dyDescent="0.2">
      <c r="A73" t="s">
        <v>109</v>
      </c>
      <c r="B73" t="s">
        <v>3</v>
      </c>
      <c r="C73" t="s">
        <v>18</v>
      </c>
      <c r="D73" t="s">
        <v>22</v>
      </c>
      <c r="E73" t="s">
        <v>28</v>
      </c>
      <c r="F73" t="s">
        <v>31</v>
      </c>
      <c r="G73" t="s">
        <v>34</v>
      </c>
      <c r="H73" t="s">
        <v>34</v>
      </c>
      <c r="I73" t="s">
        <v>35</v>
      </c>
      <c r="J73" t="s">
        <v>147</v>
      </c>
      <c r="K73" t="s">
        <v>176</v>
      </c>
      <c r="L73" t="s">
        <v>163</v>
      </c>
    </row>
    <row r="74" spans="1:12" x14ac:dyDescent="0.2">
      <c r="A74" t="s">
        <v>110</v>
      </c>
      <c r="B74" t="s">
        <v>11</v>
      </c>
      <c r="C74" t="s">
        <v>19</v>
      </c>
      <c r="D74" t="s">
        <v>36</v>
      </c>
      <c r="E74" t="s">
        <v>28</v>
      </c>
      <c r="F74" t="s">
        <v>31</v>
      </c>
      <c r="G74" t="s">
        <v>34</v>
      </c>
      <c r="H74" t="s">
        <v>34</v>
      </c>
      <c r="I74" t="s">
        <v>35</v>
      </c>
      <c r="J74" t="s">
        <v>147</v>
      </c>
      <c r="K74" t="s">
        <v>180</v>
      </c>
      <c r="L74" t="s">
        <v>153</v>
      </c>
    </row>
    <row r="75" spans="1:12" x14ac:dyDescent="0.2">
      <c r="A75" t="s">
        <v>111</v>
      </c>
      <c r="B75" t="s">
        <v>13</v>
      </c>
      <c r="C75" t="s">
        <v>19</v>
      </c>
      <c r="D75" t="s">
        <v>23</v>
      </c>
      <c r="E75" t="s">
        <v>28</v>
      </c>
      <c r="F75" t="s">
        <v>31</v>
      </c>
      <c r="G75" t="s">
        <v>35</v>
      </c>
      <c r="H75" t="s">
        <v>35</v>
      </c>
      <c r="I75" t="s">
        <v>34</v>
      </c>
      <c r="J75" t="s">
        <v>147</v>
      </c>
      <c r="K75" t="s">
        <v>157</v>
      </c>
      <c r="L75" t="s">
        <v>149</v>
      </c>
    </row>
    <row r="76" spans="1:12" x14ac:dyDescent="0.2">
      <c r="A76" t="s">
        <v>112</v>
      </c>
      <c r="B76" t="s">
        <v>6</v>
      </c>
      <c r="C76" t="s">
        <v>21</v>
      </c>
      <c r="D76" t="s">
        <v>22</v>
      </c>
      <c r="E76" t="s">
        <v>30</v>
      </c>
      <c r="F76" t="s">
        <v>1</v>
      </c>
      <c r="G76" t="s">
        <v>34</v>
      </c>
      <c r="H76" t="s">
        <v>34</v>
      </c>
      <c r="I76" t="s">
        <v>35</v>
      </c>
      <c r="J76" t="s">
        <v>151</v>
      </c>
      <c r="K76" t="s">
        <v>182</v>
      </c>
      <c r="L76" t="s">
        <v>166</v>
      </c>
    </row>
    <row r="77" spans="1:12" x14ac:dyDescent="0.2">
      <c r="A77" t="s">
        <v>113</v>
      </c>
      <c r="B77" t="s">
        <v>6</v>
      </c>
      <c r="C77" t="s">
        <v>21</v>
      </c>
      <c r="D77" t="s">
        <v>22</v>
      </c>
      <c r="E77" t="s">
        <v>30</v>
      </c>
      <c r="F77" t="s">
        <v>1</v>
      </c>
      <c r="G77" t="s">
        <v>34</v>
      </c>
      <c r="H77" t="s">
        <v>34</v>
      </c>
      <c r="I77" t="s">
        <v>35</v>
      </c>
      <c r="J77" t="s">
        <v>151</v>
      </c>
      <c r="K77" t="s">
        <v>182</v>
      </c>
      <c r="L77" t="s">
        <v>166</v>
      </c>
    </row>
    <row r="78" spans="1:12" x14ac:dyDescent="0.2">
      <c r="A78" t="s">
        <v>114</v>
      </c>
      <c r="B78" t="s">
        <v>3</v>
      </c>
      <c r="C78" t="s">
        <v>18</v>
      </c>
      <c r="D78" t="s">
        <v>22</v>
      </c>
      <c r="E78" t="s">
        <v>29</v>
      </c>
      <c r="F78" t="s">
        <v>33</v>
      </c>
      <c r="G78" t="s">
        <v>34</v>
      </c>
      <c r="H78" t="s">
        <v>34</v>
      </c>
      <c r="I78" t="s">
        <v>35</v>
      </c>
      <c r="J78" t="s">
        <v>151</v>
      </c>
      <c r="K78" t="s">
        <v>187</v>
      </c>
      <c r="L78" t="s">
        <v>166</v>
      </c>
    </row>
    <row r="79" spans="1:12" x14ac:dyDescent="0.2">
      <c r="A79" t="s">
        <v>115</v>
      </c>
      <c r="B79" t="s">
        <v>3</v>
      </c>
      <c r="C79" t="s">
        <v>18</v>
      </c>
      <c r="D79" t="s">
        <v>36</v>
      </c>
      <c r="E79" t="s">
        <v>28</v>
      </c>
      <c r="F79" t="s">
        <v>31</v>
      </c>
      <c r="G79" t="s">
        <v>34</v>
      </c>
      <c r="H79" t="s">
        <v>34</v>
      </c>
      <c r="I79" t="s">
        <v>34</v>
      </c>
      <c r="J79" t="s">
        <v>151</v>
      </c>
      <c r="K79" t="s">
        <v>188</v>
      </c>
      <c r="L79" t="s">
        <v>153</v>
      </c>
    </row>
    <row r="80" spans="1:12" x14ac:dyDescent="0.2">
      <c r="A80" t="s">
        <v>116</v>
      </c>
      <c r="B80" t="s">
        <v>4</v>
      </c>
      <c r="C80" t="s">
        <v>19</v>
      </c>
      <c r="D80" t="s">
        <v>23</v>
      </c>
      <c r="E80" t="s">
        <v>29</v>
      </c>
      <c r="F80" t="s">
        <v>33</v>
      </c>
      <c r="G80" t="s">
        <v>34</v>
      </c>
      <c r="H80" t="s">
        <v>34</v>
      </c>
      <c r="I80" t="s">
        <v>34</v>
      </c>
      <c r="J80" t="s">
        <v>147</v>
      </c>
      <c r="K80" t="s">
        <v>180</v>
      </c>
      <c r="L80" t="s">
        <v>153</v>
      </c>
    </row>
    <row r="81" spans="1:12" x14ac:dyDescent="0.2">
      <c r="A81" t="s">
        <v>117</v>
      </c>
      <c r="B81" t="s">
        <v>10</v>
      </c>
      <c r="C81" t="s">
        <v>19</v>
      </c>
      <c r="D81" t="s">
        <v>36</v>
      </c>
      <c r="E81" t="s">
        <v>28</v>
      </c>
      <c r="F81" t="s">
        <v>31</v>
      </c>
      <c r="G81" t="s">
        <v>34</v>
      </c>
      <c r="H81" t="s">
        <v>34</v>
      </c>
      <c r="I81" t="s">
        <v>35</v>
      </c>
      <c r="J81" t="s">
        <v>147</v>
      </c>
      <c r="K81" t="s">
        <v>180</v>
      </c>
      <c r="L81" t="s">
        <v>153</v>
      </c>
    </row>
    <row r="82" spans="1:12" x14ac:dyDescent="0.2">
      <c r="A82" t="s">
        <v>118</v>
      </c>
      <c r="B82" t="s">
        <v>7</v>
      </c>
      <c r="C82" t="s">
        <v>19</v>
      </c>
      <c r="D82" t="s">
        <v>22</v>
      </c>
      <c r="E82" t="s">
        <v>28</v>
      </c>
      <c r="F82" t="s">
        <v>31</v>
      </c>
      <c r="G82" t="s">
        <v>35</v>
      </c>
      <c r="H82" t="s">
        <v>34</v>
      </c>
      <c r="I82" t="s">
        <v>35</v>
      </c>
      <c r="J82" t="s">
        <v>147</v>
      </c>
      <c r="K82" t="s">
        <v>168</v>
      </c>
      <c r="L82" t="s">
        <v>153</v>
      </c>
    </row>
    <row r="83" spans="1:12" x14ac:dyDescent="0.2">
      <c r="A83" t="s">
        <v>119</v>
      </c>
      <c r="B83" t="s">
        <v>8</v>
      </c>
      <c r="C83" t="s">
        <v>18</v>
      </c>
      <c r="D83" t="s">
        <v>22</v>
      </c>
      <c r="E83" t="s">
        <v>28</v>
      </c>
      <c r="F83" t="s">
        <v>31</v>
      </c>
      <c r="G83" t="s">
        <v>35</v>
      </c>
      <c r="H83" t="s">
        <v>34</v>
      </c>
      <c r="I83" t="s">
        <v>35</v>
      </c>
      <c r="J83" t="s">
        <v>147</v>
      </c>
      <c r="K83" t="s">
        <v>168</v>
      </c>
      <c r="L83" t="s">
        <v>153</v>
      </c>
    </row>
    <row r="84" spans="1:12" x14ac:dyDescent="0.2">
      <c r="A84" t="s">
        <v>120</v>
      </c>
      <c r="B84" t="s">
        <v>8</v>
      </c>
      <c r="C84" t="s">
        <v>18</v>
      </c>
      <c r="D84" t="s">
        <v>22</v>
      </c>
      <c r="E84" t="s">
        <v>28</v>
      </c>
      <c r="F84" t="s">
        <v>31</v>
      </c>
      <c r="G84" t="s">
        <v>34</v>
      </c>
      <c r="H84" t="s">
        <v>34</v>
      </c>
      <c r="I84" t="s">
        <v>35</v>
      </c>
      <c r="J84" t="s">
        <v>147</v>
      </c>
      <c r="K84" t="s">
        <v>168</v>
      </c>
      <c r="L84" t="s">
        <v>153</v>
      </c>
    </row>
    <row r="85" spans="1:12" x14ac:dyDescent="0.2">
      <c r="A85" t="s">
        <v>121</v>
      </c>
      <c r="B85" t="s">
        <v>4</v>
      </c>
      <c r="C85" t="s">
        <v>19</v>
      </c>
      <c r="D85" t="s">
        <v>22</v>
      </c>
      <c r="E85" t="s">
        <v>28</v>
      </c>
      <c r="F85" t="s">
        <v>31</v>
      </c>
      <c r="G85" t="s">
        <v>35</v>
      </c>
      <c r="H85" t="s">
        <v>34</v>
      </c>
      <c r="I85" t="s">
        <v>35</v>
      </c>
      <c r="J85" t="s">
        <v>147</v>
      </c>
      <c r="K85" t="s">
        <v>168</v>
      </c>
      <c r="L85" t="s">
        <v>153</v>
      </c>
    </row>
    <row r="86" spans="1:12" x14ac:dyDescent="0.2">
      <c r="A86" t="s">
        <v>122</v>
      </c>
      <c r="B86" t="s">
        <v>6</v>
      </c>
      <c r="C86" t="s">
        <v>18</v>
      </c>
      <c r="D86" t="s">
        <v>22</v>
      </c>
      <c r="E86" t="s">
        <v>28</v>
      </c>
      <c r="F86" t="s">
        <v>31</v>
      </c>
      <c r="G86" t="s">
        <v>34</v>
      </c>
      <c r="H86" t="s">
        <v>34</v>
      </c>
      <c r="I86" t="s">
        <v>35</v>
      </c>
      <c r="J86" t="s">
        <v>147</v>
      </c>
      <c r="K86" t="s">
        <v>189</v>
      </c>
      <c r="L86" t="s">
        <v>166</v>
      </c>
    </row>
    <row r="87" spans="1:12" x14ac:dyDescent="0.2">
      <c r="A87" t="s">
        <v>123</v>
      </c>
      <c r="B87" t="s">
        <v>6</v>
      </c>
      <c r="C87" t="s">
        <v>19</v>
      </c>
      <c r="D87" t="s">
        <v>22</v>
      </c>
      <c r="E87" t="s">
        <v>28</v>
      </c>
      <c r="F87" t="s">
        <v>31</v>
      </c>
      <c r="G87" t="s">
        <v>34</v>
      </c>
      <c r="H87" t="s">
        <v>34</v>
      </c>
      <c r="I87" t="s">
        <v>35</v>
      </c>
      <c r="J87" t="s">
        <v>147</v>
      </c>
      <c r="K87" t="s">
        <v>189</v>
      </c>
      <c r="L87" t="s">
        <v>166</v>
      </c>
    </row>
    <row r="88" spans="1:12" x14ac:dyDescent="0.2">
      <c r="A88" t="s">
        <v>124</v>
      </c>
      <c r="B88" t="s">
        <v>5</v>
      </c>
      <c r="C88" t="s">
        <v>18</v>
      </c>
      <c r="D88" t="s">
        <v>22</v>
      </c>
      <c r="E88" t="s">
        <v>28</v>
      </c>
      <c r="F88" t="s">
        <v>31</v>
      </c>
      <c r="G88" t="s">
        <v>34</v>
      </c>
      <c r="H88" t="s">
        <v>34</v>
      </c>
      <c r="I88" t="s">
        <v>35</v>
      </c>
      <c r="J88" t="s">
        <v>147</v>
      </c>
      <c r="K88" t="s">
        <v>189</v>
      </c>
      <c r="L88" t="s">
        <v>166</v>
      </c>
    </row>
    <row r="89" spans="1:12" x14ac:dyDescent="0.2">
      <c r="A89" t="s">
        <v>125</v>
      </c>
      <c r="B89" t="s">
        <v>3</v>
      </c>
      <c r="C89" t="s">
        <v>18</v>
      </c>
      <c r="D89" t="s">
        <v>22</v>
      </c>
      <c r="E89" t="s">
        <v>28</v>
      </c>
      <c r="F89" t="s">
        <v>32</v>
      </c>
      <c r="G89" t="s">
        <v>35</v>
      </c>
      <c r="H89" t="s">
        <v>34</v>
      </c>
      <c r="I89" t="s">
        <v>34</v>
      </c>
      <c r="J89" t="s">
        <v>147</v>
      </c>
      <c r="K89" t="s">
        <v>190</v>
      </c>
      <c r="L89" t="s">
        <v>163</v>
      </c>
    </row>
    <row r="90" spans="1:12" x14ac:dyDescent="0.2">
      <c r="A90" t="s">
        <v>126</v>
      </c>
      <c r="B90" t="s">
        <v>4</v>
      </c>
      <c r="C90" t="s">
        <v>19</v>
      </c>
      <c r="D90" t="s">
        <v>22</v>
      </c>
      <c r="E90" t="s">
        <v>28</v>
      </c>
      <c r="F90" t="s">
        <v>32</v>
      </c>
      <c r="G90" t="s">
        <v>35</v>
      </c>
      <c r="H90" t="s">
        <v>34</v>
      </c>
      <c r="I90" t="s">
        <v>34</v>
      </c>
      <c r="J90" t="s">
        <v>147</v>
      </c>
      <c r="K90" t="s">
        <v>190</v>
      </c>
      <c r="L90" t="s">
        <v>163</v>
      </c>
    </row>
    <row r="91" spans="1:12" x14ac:dyDescent="0.2">
      <c r="A91" t="s">
        <v>127</v>
      </c>
      <c r="B91" t="s">
        <v>10</v>
      </c>
      <c r="C91" t="s">
        <v>20</v>
      </c>
      <c r="D91" t="s">
        <v>22</v>
      </c>
      <c r="E91" t="s">
        <v>30</v>
      </c>
      <c r="F91" t="s">
        <v>1</v>
      </c>
      <c r="G91" t="s">
        <v>34</v>
      </c>
      <c r="H91" t="s">
        <v>34</v>
      </c>
      <c r="I91" t="s">
        <v>35</v>
      </c>
      <c r="J91" t="s">
        <v>151</v>
      </c>
      <c r="K91" t="s">
        <v>182</v>
      </c>
      <c r="L91" t="s">
        <v>166</v>
      </c>
    </row>
    <row r="92" spans="1:12" x14ac:dyDescent="0.2">
      <c r="A92" t="s">
        <v>128</v>
      </c>
      <c r="B92" t="s">
        <v>8</v>
      </c>
      <c r="C92" t="s">
        <v>20</v>
      </c>
      <c r="D92" t="s">
        <v>22</v>
      </c>
      <c r="E92" t="s">
        <v>30</v>
      </c>
      <c r="F92" t="s">
        <v>1</v>
      </c>
      <c r="G92" t="s">
        <v>34</v>
      </c>
      <c r="H92" t="s">
        <v>34</v>
      </c>
      <c r="I92" t="s">
        <v>35</v>
      </c>
      <c r="J92" t="s">
        <v>151</v>
      </c>
      <c r="K92" t="s">
        <v>182</v>
      </c>
      <c r="L92" t="s">
        <v>166</v>
      </c>
    </row>
    <row r="93" spans="1:12" x14ac:dyDescent="0.2">
      <c r="A93" t="s">
        <v>129</v>
      </c>
      <c r="B93" t="s">
        <v>11</v>
      </c>
      <c r="C93" t="s">
        <v>18</v>
      </c>
      <c r="D93" t="s">
        <v>22</v>
      </c>
      <c r="E93" t="s">
        <v>29</v>
      </c>
      <c r="F93" t="s">
        <v>32</v>
      </c>
      <c r="G93" t="s">
        <v>34</v>
      </c>
      <c r="H93" t="s">
        <v>34</v>
      </c>
      <c r="I93" t="s">
        <v>35</v>
      </c>
      <c r="J93" t="s">
        <v>151</v>
      </c>
      <c r="K93" t="s">
        <v>191</v>
      </c>
      <c r="L93" t="s">
        <v>153</v>
      </c>
    </row>
    <row r="94" spans="1:12" x14ac:dyDescent="0.2">
      <c r="A94" t="s">
        <v>130</v>
      </c>
      <c r="B94" t="s">
        <v>9</v>
      </c>
      <c r="C94" t="s">
        <v>19</v>
      </c>
      <c r="D94" t="s">
        <v>36</v>
      </c>
      <c r="E94" t="s">
        <v>28</v>
      </c>
      <c r="F94" t="s">
        <v>31</v>
      </c>
      <c r="G94" t="s">
        <v>34</v>
      </c>
      <c r="H94" t="s">
        <v>34</v>
      </c>
      <c r="I94" t="s">
        <v>35</v>
      </c>
      <c r="J94" t="s">
        <v>147</v>
      </c>
      <c r="K94" t="s">
        <v>180</v>
      </c>
      <c r="L94" t="s">
        <v>153</v>
      </c>
    </row>
    <row r="95" spans="1:12" x14ac:dyDescent="0.2">
      <c r="A95" t="s">
        <v>131</v>
      </c>
      <c r="B95" t="s">
        <v>9</v>
      </c>
      <c r="C95" t="s">
        <v>19</v>
      </c>
      <c r="D95" t="s">
        <v>22</v>
      </c>
      <c r="E95" t="s">
        <v>29</v>
      </c>
      <c r="F95" t="s">
        <v>33</v>
      </c>
      <c r="G95" t="s">
        <v>34</v>
      </c>
      <c r="H95" t="s">
        <v>34</v>
      </c>
      <c r="I95" t="s">
        <v>34</v>
      </c>
      <c r="J95" t="s">
        <v>147</v>
      </c>
      <c r="K95" t="s">
        <v>192</v>
      </c>
      <c r="L95" t="s">
        <v>166</v>
      </c>
    </row>
    <row r="96" spans="1:12" x14ac:dyDescent="0.2">
      <c r="A96" t="s">
        <v>132</v>
      </c>
      <c r="B96" t="s">
        <v>9</v>
      </c>
      <c r="C96" t="s">
        <v>19</v>
      </c>
      <c r="D96" t="s">
        <v>22</v>
      </c>
      <c r="E96" t="s">
        <v>28</v>
      </c>
      <c r="F96" t="s">
        <v>31</v>
      </c>
      <c r="G96" t="s">
        <v>35</v>
      </c>
      <c r="H96" t="s">
        <v>34</v>
      </c>
      <c r="I96" t="s">
        <v>35</v>
      </c>
      <c r="J96" t="s">
        <v>151</v>
      </c>
      <c r="K96" t="s">
        <v>192</v>
      </c>
      <c r="L96" t="s">
        <v>166</v>
      </c>
    </row>
    <row r="97" spans="1:12" x14ac:dyDescent="0.2">
      <c r="A97" t="s">
        <v>133</v>
      </c>
      <c r="B97" t="s">
        <v>7</v>
      </c>
      <c r="C97" t="s">
        <v>19</v>
      </c>
      <c r="D97" t="s">
        <v>22</v>
      </c>
      <c r="E97" t="s">
        <v>28</v>
      </c>
      <c r="F97" t="s">
        <v>31</v>
      </c>
      <c r="G97" t="s">
        <v>35</v>
      </c>
      <c r="H97" t="s">
        <v>34</v>
      </c>
      <c r="I97" t="s">
        <v>35</v>
      </c>
      <c r="J97" t="s">
        <v>151</v>
      </c>
      <c r="K97" t="s">
        <v>192</v>
      </c>
      <c r="L97" t="s">
        <v>166</v>
      </c>
    </row>
    <row r="98" spans="1:12" x14ac:dyDescent="0.2">
      <c r="A98" t="s">
        <v>134</v>
      </c>
      <c r="B98" t="s">
        <v>11</v>
      </c>
      <c r="C98" t="s">
        <v>18</v>
      </c>
      <c r="D98" t="s">
        <v>22</v>
      </c>
      <c r="E98" t="s">
        <v>28</v>
      </c>
      <c r="F98" t="s">
        <v>31</v>
      </c>
      <c r="G98" t="s">
        <v>34</v>
      </c>
      <c r="H98" t="s">
        <v>34</v>
      </c>
      <c r="I98" t="s">
        <v>35</v>
      </c>
      <c r="J98" t="s">
        <v>151</v>
      </c>
      <c r="K98" t="s">
        <v>182</v>
      </c>
      <c r="L98" t="s">
        <v>166</v>
      </c>
    </row>
  </sheetData>
  <autoFilter ref="A1:L1" xr:uid="{00000000-0001-0000-03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0A673-15A4-554F-AF9A-605320C79D73}">
  <dimension ref="A1:E98"/>
  <sheetViews>
    <sheetView workbookViewId="0">
      <selection activeCell="F1" sqref="F1"/>
    </sheetView>
  </sheetViews>
  <sheetFormatPr baseColWidth="10" defaultRowHeight="15" x14ac:dyDescent="0.2"/>
  <cols>
    <col min="1" max="1" width="9.83203125" customWidth="1"/>
    <col min="2" max="2" width="18.5" bestFit="1" customWidth="1"/>
    <col min="3" max="3" width="20.33203125" bestFit="1" customWidth="1"/>
    <col min="4" max="4" width="15.5" bestFit="1" customWidth="1"/>
    <col min="5" max="5" width="18" bestFit="1" customWidth="1"/>
  </cols>
  <sheetData>
    <row r="1" spans="1:5" x14ac:dyDescent="0.2">
      <c r="A1" s="1" t="s">
        <v>135</v>
      </c>
      <c r="B1" s="1" t="s">
        <v>193</v>
      </c>
      <c r="C1" s="1" t="s">
        <v>194</v>
      </c>
      <c r="D1" s="1" t="s">
        <v>199</v>
      </c>
      <c r="E1" s="1" t="s">
        <v>197</v>
      </c>
    </row>
    <row r="2" spans="1:5" x14ac:dyDescent="0.2">
      <c r="A2" t="s">
        <v>38</v>
      </c>
      <c r="B2">
        <v>2344</v>
      </c>
      <c r="C2">
        <v>7</v>
      </c>
      <c r="D2">
        <v>8.9499999999999993</v>
      </c>
      <c r="E2" s="2">
        <v>19.960808719999999</v>
      </c>
    </row>
    <row r="3" spans="1:5" x14ac:dyDescent="0.2">
      <c r="A3" t="s">
        <v>39</v>
      </c>
      <c r="B3">
        <v>2447</v>
      </c>
      <c r="C3">
        <v>7</v>
      </c>
      <c r="D3">
        <v>3.52</v>
      </c>
      <c r="E3" s="2">
        <v>17.045190099999999</v>
      </c>
    </row>
    <row r="4" spans="1:5" x14ac:dyDescent="0.2">
      <c r="A4" t="s">
        <v>40</v>
      </c>
      <c r="B4">
        <v>1775</v>
      </c>
      <c r="C4">
        <v>6.9</v>
      </c>
      <c r="D4">
        <v>10.89</v>
      </c>
      <c r="E4" s="2">
        <v>38.501880550000003</v>
      </c>
    </row>
    <row r="5" spans="1:5" x14ac:dyDescent="0.2">
      <c r="A5" t="s">
        <v>41</v>
      </c>
      <c r="B5">
        <v>1309</v>
      </c>
      <c r="C5">
        <v>7</v>
      </c>
      <c r="D5">
        <v>7.68</v>
      </c>
      <c r="E5" s="2">
        <v>20.417704709999999</v>
      </c>
    </row>
    <row r="6" spans="1:5" x14ac:dyDescent="0.2">
      <c r="A6" t="s">
        <v>42</v>
      </c>
      <c r="B6">
        <v>2031</v>
      </c>
      <c r="C6">
        <v>7</v>
      </c>
      <c r="D6">
        <v>5.03</v>
      </c>
      <c r="E6" s="2">
        <v>32.932931109999998</v>
      </c>
    </row>
    <row r="7" spans="1:5" x14ac:dyDescent="0.2">
      <c r="A7" t="s">
        <v>43</v>
      </c>
      <c r="B7">
        <v>1794</v>
      </c>
      <c r="C7">
        <v>7</v>
      </c>
      <c r="D7">
        <v>10.96</v>
      </c>
      <c r="E7" s="2">
        <v>45.831928550000001</v>
      </c>
    </row>
    <row r="8" spans="1:5" x14ac:dyDescent="0.2">
      <c r="A8" t="s">
        <v>44</v>
      </c>
      <c r="B8">
        <v>2402</v>
      </c>
      <c r="C8">
        <v>7</v>
      </c>
      <c r="D8">
        <v>4.4400000000000004</v>
      </c>
      <c r="E8" s="2">
        <v>29.46311425</v>
      </c>
    </row>
    <row r="9" spans="1:5" x14ac:dyDescent="0.2">
      <c r="A9" t="s">
        <v>45</v>
      </c>
      <c r="B9">
        <v>3248</v>
      </c>
      <c r="C9">
        <v>9.6</v>
      </c>
      <c r="D9">
        <v>13.32</v>
      </c>
      <c r="E9" s="2">
        <v>60.910376710000001</v>
      </c>
    </row>
    <row r="10" spans="1:5" x14ac:dyDescent="0.2">
      <c r="A10" t="s">
        <v>46</v>
      </c>
      <c r="B10">
        <v>2125</v>
      </c>
      <c r="C10">
        <v>16.100000000000001</v>
      </c>
      <c r="D10">
        <v>3.75</v>
      </c>
      <c r="E10" s="2">
        <v>38.727809200000003</v>
      </c>
    </row>
    <row r="11" spans="1:5" x14ac:dyDescent="0.2">
      <c r="A11" t="s">
        <v>47</v>
      </c>
      <c r="B11">
        <v>548</v>
      </c>
      <c r="C11">
        <v>6.6</v>
      </c>
      <c r="D11">
        <v>1.28</v>
      </c>
      <c r="E11" s="2">
        <v>9.2677632859999992</v>
      </c>
    </row>
    <row r="12" spans="1:5" x14ac:dyDescent="0.2">
      <c r="A12" t="s">
        <v>48</v>
      </c>
      <c r="B12">
        <v>1180</v>
      </c>
      <c r="C12">
        <v>7</v>
      </c>
      <c r="D12">
        <v>1.96</v>
      </c>
      <c r="E12" s="2">
        <v>5.315372848</v>
      </c>
    </row>
    <row r="13" spans="1:5" x14ac:dyDescent="0.2">
      <c r="A13" t="s">
        <v>49</v>
      </c>
      <c r="B13">
        <v>1555</v>
      </c>
      <c r="C13">
        <v>7.1</v>
      </c>
      <c r="D13">
        <v>1.2</v>
      </c>
      <c r="E13" s="2">
        <v>3.5479887489999999</v>
      </c>
    </row>
    <row r="14" spans="1:5" x14ac:dyDescent="0.2">
      <c r="A14" t="s">
        <v>50</v>
      </c>
      <c r="B14">
        <v>1552</v>
      </c>
      <c r="C14">
        <v>7</v>
      </c>
      <c r="D14">
        <v>4.8</v>
      </c>
      <c r="E14" s="2">
        <v>29.27228912</v>
      </c>
    </row>
    <row r="15" spans="1:5" x14ac:dyDescent="0.2">
      <c r="A15" t="s">
        <v>51</v>
      </c>
      <c r="B15">
        <v>823</v>
      </c>
      <c r="C15">
        <v>7.1</v>
      </c>
      <c r="D15">
        <v>2.98</v>
      </c>
      <c r="E15" s="2">
        <v>5.7814718740000002</v>
      </c>
    </row>
    <row r="16" spans="1:5" x14ac:dyDescent="0.2">
      <c r="A16" t="s">
        <v>52</v>
      </c>
      <c r="B16">
        <v>891</v>
      </c>
      <c r="C16">
        <v>6.9</v>
      </c>
      <c r="D16">
        <v>4.2699999999999996</v>
      </c>
      <c r="E16" s="2">
        <v>8.4784605909999993</v>
      </c>
    </row>
    <row r="17" spans="1:5" x14ac:dyDescent="0.2">
      <c r="A17" t="s">
        <v>53</v>
      </c>
      <c r="B17">
        <v>1879</v>
      </c>
      <c r="C17">
        <v>7.1</v>
      </c>
      <c r="D17">
        <v>4.96</v>
      </c>
      <c r="E17" s="2">
        <v>14.405717989999999</v>
      </c>
    </row>
    <row r="18" spans="1:5" x14ac:dyDescent="0.2">
      <c r="A18" t="s">
        <v>54</v>
      </c>
      <c r="B18">
        <v>1697</v>
      </c>
      <c r="C18">
        <v>7</v>
      </c>
      <c r="D18">
        <v>19.21</v>
      </c>
      <c r="E18" s="2">
        <v>87.621859290000003</v>
      </c>
    </row>
    <row r="19" spans="1:5" x14ac:dyDescent="0.2">
      <c r="A19" t="s">
        <v>55</v>
      </c>
      <c r="B19">
        <v>1185</v>
      </c>
      <c r="C19">
        <v>7</v>
      </c>
      <c r="D19">
        <v>5.23</v>
      </c>
      <c r="E19" s="2">
        <v>8.6896204640000008</v>
      </c>
    </row>
    <row r="20" spans="1:5" x14ac:dyDescent="0.2">
      <c r="A20" t="s">
        <v>56</v>
      </c>
      <c r="B20">
        <v>2717</v>
      </c>
      <c r="C20">
        <v>7.1</v>
      </c>
      <c r="D20">
        <v>36.799999999999997</v>
      </c>
      <c r="E20" s="2">
        <v>55.685029520000001</v>
      </c>
    </row>
    <row r="21" spans="1:5" x14ac:dyDescent="0.2">
      <c r="A21" t="s">
        <v>57</v>
      </c>
      <c r="B21">
        <v>2345</v>
      </c>
      <c r="C21">
        <v>7</v>
      </c>
      <c r="D21">
        <v>5.81</v>
      </c>
      <c r="E21" s="2">
        <v>28.78178411</v>
      </c>
    </row>
    <row r="22" spans="1:5" x14ac:dyDescent="0.2">
      <c r="A22" t="s">
        <v>58</v>
      </c>
      <c r="B22">
        <v>2764</v>
      </c>
      <c r="C22">
        <v>7.1</v>
      </c>
      <c r="D22">
        <v>12.86</v>
      </c>
      <c r="E22" s="2">
        <v>49.3873076</v>
      </c>
    </row>
    <row r="23" spans="1:5" x14ac:dyDescent="0.2">
      <c r="A23" t="s">
        <v>59</v>
      </c>
      <c r="B23">
        <v>1172</v>
      </c>
      <c r="C23">
        <v>7</v>
      </c>
      <c r="D23">
        <v>11.62</v>
      </c>
      <c r="E23" s="2">
        <v>20.183592130000001</v>
      </c>
    </row>
    <row r="24" spans="1:5" x14ac:dyDescent="0.2">
      <c r="A24" t="s">
        <v>60</v>
      </c>
      <c r="B24">
        <v>1063</v>
      </c>
      <c r="C24">
        <v>6.4</v>
      </c>
      <c r="D24">
        <v>2.57</v>
      </c>
      <c r="E24" s="2">
        <v>2.2853297389999998</v>
      </c>
    </row>
    <row r="25" spans="1:5" x14ac:dyDescent="0.2">
      <c r="A25" t="s">
        <v>61</v>
      </c>
      <c r="B25">
        <v>4081</v>
      </c>
      <c r="C25">
        <v>7.1</v>
      </c>
      <c r="D25">
        <v>4.26</v>
      </c>
      <c r="E25" s="2">
        <v>59.54681386</v>
      </c>
    </row>
    <row r="26" spans="1:5" x14ac:dyDescent="0.2">
      <c r="A26" t="s">
        <v>62</v>
      </c>
      <c r="B26">
        <v>1995</v>
      </c>
      <c r="C26">
        <v>7</v>
      </c>
      <c r="D26">
        <v>5.15</v>
      </c>
      <c r="E26" s="2">
        <v>33.807901440000002</v>
      </c>
    </row>
    <row r="27" spans="1:5" x14ac:dyDescent="0.2">
      <c r="A27" t="s">
        <v>63</v>
      </c>
      <c r="B27">
        <v>1432</v>
      </c>
      <c r="C27">
        <v>7.1</v>
      </c>
      <c r="D27">
        <v>20.66</v>
      </c>
      <c r="E27" s="2">
        <v>75.682064220000001</v>
      </c>
    </row>
    <row r="28" spans="1:5" x14ac:dyDescent="0.2">
      <c r="A28" t="s">
        <v>64</v>
      </c>
      <c r="B28">
        <v>1768</v>
      </c>
      <c r="C28">
        <v>6.7</v>
      </c>
      <c r="D28">
        <v>4.32</v>
      </c>
      <c r="E28" s="2">
        <v>18.065176470000001</v>
      </c>
    </row>
    <row r="29" spans="1:5" x14ac:dyDescent="0.2">
      <c r="A29" t="s">
        <v>66</v>
      </c>
      <c r="B29">
        <v>1344</v>
      </c>
      <c r="C29">
        <v>6.9</v>
      </c>
      <c r="D29">
        <v>2.89</v>
      </c>
      <c r="E29" s="2">
        <v>20.747473729999999</v>
      </c>
    </row>
    <row r="30" spans="1:5" x14ac:dyDescent="0.2">
      <c r="A30" t="s">
        <v>65</v>
      </c>
      <c r="B30">
        <v>4381</v>
      </c>
      <c r="C30">
        <v>6</v>
      </c>
      <c r="D30">
        <v>2.33</v>
      </c>
      <c r="E30" s="2">
        <v>6.0170755629999997</v>
      </c>
    </row>
    <row r="31" spans="1:5" x14ac:dyDescent="0.2">
      <c r="A31" t="s">
        <v>67</v>
      </c>
      <c r="B31">
        <v>1965</v>
      </c>
      <c r="C31">
        <v>7</v>
      </c>
      <c r="D31">
        <v>3.26</v>
      </c>
      <c r="E31" s="2">
        <v>15.89592081</v>
      </c>
    </row>
    <row r="32" spans="1:5" x14ac:dyDescent="0.2">
      <c r="A32" t="s">
        <v>68</v>
      </c>
      <c r="B32">
        <v>1551</v>
      </c>
      <c r="C32">
        <v>5.9</v>
      </c>
      <c r="D32">
        <v>8.3800000000000008</v>
      </c>
      <c r="E32" s="2">
        <v>46.478839970000003</v>
      </c>
    </row>
    <row r="33" spans="1:5" x14ac:dyDescent="0.2">
      <c r="A33" t="s">
        <v>69</v>
      </c>
      <c r="B33">
        <v>752</v>
      </c>
      <c r="C33">
        <v>7</v>
      </c>
      <c r="D33">
        <v>6.34</v>
      </c>
      <c r="E33" s="2">
        <v>22.916034759999999</v>
      </c>
    </row>
    <row r="34" spans="1:5" x14ac:dyDescent="0.2">
      <c r="A34" t="s">
        <v>70</v>
      </c>
      <c r="B34">
        <v>1021</v>
      </c>
      <c r="C34">
        <v>7</v>
      </c>
      <c r="D34">
        <v>8.2799999999999994</v>
      </c>
      <c r="E34" s="2">
        <v>17.782420550000001</v>
      </c>
    </row>
    <row r="35" spans="1:5" x14ac:dyDescent="0.2">
      <c r="A35" t="s">
        <v>71</v>
      </c>
      <c r="B35">
        <v>1028</v>
      </c>
      <c r="C35">
        <v>7</v>
      </c>
      <c r="D35">
        <v>1.37</v>
      </c>
      <c r="E35" s="2">
        <v>2.325473787</v>
      </c>
    </row>
    <row r="36" spans="1:5" x14ac:dyDescent="0.2">
      <c r="A36" t="s">
        <v>72</v>
      </c>
      <c r="B36">
        <v>1237</v>
      </c>
      <c r="C36">
        <v>7</v>
      </c>
      <c r="D36">
        <v>17.600000000000001</v>
      </c>
      <c r="E36" s="2">
        <v>53.208556590000001</v>
      </c>
    </row>
    <row r="37" spans="1:5" x14ac:dyDescent="0.2">
      <c r="A37" t="s">
        <v>73</v>
      </c>
      <c r="B37">
        <v>813</v>
      </c>
      <c r="C37">
        <v>7</v>
      </c>
      <c r="D37">
        <v>2.0499999999999998</v>
      </c>
      <c r="E37" s="2">
        <v>7.4129866010000001</v>
      </c>
    </row>
    <row r="38" spans="1:5" x14ac:dyDescent="0.2">
      <c r="A38" t="s">
        <v>74</v>
      </c>
      <c r="B38">
        <v>651</v>
      </c>
      <c r="C38">
        <v>7</v>
      </c>
      <c r="D38">
        <v>1.02</v>
      </c>
      <c r="E38" s="2">
        <v>5.3748961120000001</v>
      </c>
    </row>
    <row r="39" spans="1:5" x14ac:dyDescent="0.2">
      <c r="A39" t="s">
        <v>75</v>
      </c>
      <c r="B39">
        <v>1316</v>
      </c>
      <c r="C39">
        <v>7</v>
      </c>
      <c r="D39">
        <v>7.7</v>
      </c>
      <c r="E39" s="2">
        <v>14.38916326</v>
      </c>
    </row>
    <row r="40" spans="1:5" x14ac:dyDescent="0.2">
      <c r="A40" t="s">
        <v>76</v>
      </c>
      <c r="B40">
        <v>1509</v>
      </c>
      <c r="C40">
        <v>7</v>
      </c>
      <c r="D40">
        <v>8.07</v>
      </c>
      <c r="E40" s="2">
        <v>36.553076609999998</v>
      </c>
    </row>
    <row r="41" spans="1:5" x14ac:dyDescent="0.2">
      <c r="A41" t="s">
        <v>77</v>
      </c>
      <c r="B41">
        <v>1184</v>
      </c>
      <c r="C41">
        <v>7</v>
      </c>
      <c r="D41">
        <v>1.76</v>
      </c>
      <c r="E41" s="2">
        <v>9.0424260410000006</v>
      </c>
    </row>
    <row r="42" spans="1:5" x14ac:dyDescent="0.2">
      <c r="A42" t="s">
        <v>78</v>
      </c>
      <c r="B42">
        <v>1706</v>
      </c>
      <c r="C42">
        <v>7</v>
      </c>
      <c r="D42">
        <v>8.5</v>
      </c>
      <c r="E42" s="2">
        <v>21.551582249999999</v>
      </c>
    </row>
    <row r="43" spans="1:5" x14ac:dyDescent="0.2">
      <c r="A43" t="s">
        <v>79</v>
      </c>
      <c r="B43">
        <v>1579</v>
      </c>
      <c r="C43">
        <v>7</v>
      </c>
      <c r="D43">
        <v>6.84</v>
      </c>
      <c r="E43" s="2">
        <v>33.268733529999999</v>
      </c>
    </row>
    <row r="44" spans="1:5" x14ac:dyDescent="0.2">
      <c r="A44" t="s">
        <v>80</v>
      </c>
      <c r="B44">
        <v>756</v>
      </c>
      <c r="C44">
        <v>10.5</v>
      </c>
      <c r="D44">
        <v>8.9600000000000009</v>
      </c>
      <c r="E44" s="2">
        <v>17.22945855</v>
      </c>
    </row>
    <row r="45" spans="1:5" x14ac:dyDescent="0.2">
      <c r="A45" t="s">
        <v>81</v>
      </c>
      <c r="B45">
        <v>1395</v>
      </c>
      <c r="C45">
        <v>5.9</v>
      </c>
      <c r="D45">
        <v>5.28</v>
      </c>
      <c r="E45" s="2">
        <v>10.499330649999999</v>
      </c>
    </row>
    <row r="46" spans="1:5" x14ac:dyDescent="0.2">
      <c r="A46" t="s">
        <v>82</v>
      </c>
      <c r="B46">
        <v>1037</v>
      </c>
      <c r="C46">
        <v>7</v>
      </c>
      <c r="D46">
        <v>4.54</v>
      </c>
      <c r="E46" s="2">
        <v>17.721161160000001</v>
      </c>
    </row>
    <row r="47" spans="1:5" x14ac:dyDescent="0.2">
      <c r="A47" t="s">
        <v>83</v>
      </c>
      <c r="B47">
        <v>1858</v>
      </c>
      <c r="C47">
        <v>7</v>
      </c>
      <c r="D47">
        <v>6.76</v>
      </c>
      <c r="E47" s="2">
        <v>38.609891380000001</v>
      </c>
    </row>
    <row r="48" spans="1:5" x14ac:dyDescent="0.2">
      <c r="A48" t="s">
        <v>84</v>
      </c>
      <c r="B48">
        <v>2134</v>
      </c>
      <c r="C48">
        <v>7</v>
      </c>
      <c r="D48">
        <v>7.26</v>
      </c>
      <c r="E48" s="2">
        <v>16.404801030000002</v>
      </c>
    </row>
    <row r="49" spans="1:5" x14ac:dyDescent="0.2">
      <c r="A49" t="s">
        <v>85</v>
      </c>
      <c r="B49">
        <v>2306</v>
      </c>
      <c r="C49">
        <v>7.1</v>
      </c>
      <c r="D49">
        <v>6.53</v>
      </c>
      <c r="E49" s="2">
        <v>26.640097650000001</v>
      </c>
    </row>
    <row r="50" spans="1:5" x14ac:dyDescent="0.2">
      <c r="A50" t="s">
        <v>86</v>
      </c>
      <c r="B50">
        <v>1509</v>
      </c>
      <c r="C50">
        <v>7</v>
      </c>
      <c r="D50">
        <v>10.130000000000001</v>
      </c>
      <c r="E50" s="2">
        <v>60.363771470000003</v>
      </c>
    </row>
    <row r="51" spans="1:5" x14ac:dyDescent="0.2">
      <c r="A51" t="s">
        <v>87</v>
      </c>
      <c r="B51">
        <v>284</v>
      </c>
      <c r="C51">
        <v>7</v>
      </c>
      <c r="D51">
        <v>1.85</v>
      </c>
      <c r="E51" s="2">
        <v>19.120901910000001</v>
      </c>
    </row>
    <row r="52" spans="1:5" x14ac:dyDescent="0.2">
      <c r="A52" t="s">
        <v>88</v>
      </c>
      <c r="B52">
        <v>623</v>
      </c>
      <c r="C52">
        <v>7</v>
      </c>
      <c r="D52">
        <v>3.59</v>
      </c>
      <c r="E52" s="2">
        <v>12.8002155</v>
      </c>
    </row>
    <row r="53" spans="1:5" x14ac:dyDescent="0.2">
      <c r="A53" t="s">
        <v>89</v>
      </c>
      <c r="B53">
        <v>788</v>
      </c>
      <c r="C53">
        <v>7</v>
      </c>
      <c r="D53">
        <v>5.6</v>
      </c>
      <c r="E53" s="2">
        <v>11.77155484</v>
      </c>
    </row>
    <row r="54" spans="1:5" x14ac:dyDescent="0.2">
      <c r="A54" t="s">
        <v>90</v>
      </c>
      <c r="B54">
        <v>1105</v>
      </c>
      <c r="C54">
        <v>7</v>
      </c>
      <c r="D54">
        <v>19.96</v>
      </c>
      <c r="E54" s="2">
        <v>44.31423504</v>
      </c>
    </row>
    <row r="55" spans="1:5" x14ac:dyDescent="0.2">
      <c r="A55" t="s">
        <v>91</v>
      </c>
      <c r="B55">
        <v>721</v>
      </c>
      <c r="C55">
        <v>7</v>
      </c>
      <c r="D55">
        <v>10.44</v>
      </c>
      <c r="E55" s="2">
        <v>24.361351379999999</v>
      </c>
    </row>
    <row r="56" spans="1:5" x14ac:dyDescent="0.2">
      <c r="A56" t="s">
        <v>92</v>
      </c>
      <c r="B56">
        <v>690</v>
      </c>
      <c r="C56">
        <v>7</v>
      </c>
      <c r="D56">
        <v>6.05</v>
      </c>
      <c r="E56" s="2">
        <v>16.569076500000001</v>
      </c>
    </row>
    <row r="57" spans="1:5" x14ac:dyDescent="0.2">
      <c r="A57" t="s">
        <v>93</v>
      </c>
      <c r="B57">
        <v>9023</v>
      </c>
      <c r="C57">
        <v>7</v>
      </c>
      <c r="D57">
        <v>2.97</v>
      </c>
      <c r="E57" s="2">
        <v>24.083983960000001</v>
      </c>
    </row>
    <row r="58" spans="1:5" x14ac:dyDescent="0.2">
      <c r="A58" t="s">
        <v>94</v>
      </c>
      <c r="B58">
        <v>11085</v>
      </c>
      <c r="C58">
        <v>7</v>
      </c>
      <c r="D58">
        <v>2.1</v>
      </c>
      <c r="E58" s="2">
        <v>12.184183089999999</v>
      </c>
    </row>
    <row r="59" spans="1:5" x14ac:dyDescent="0.2">
      <c r="A59" t="s">
        <v>95</v>
      </c>
      <c r="B59">
        <v>2390</v>
      </c>
      <c r="C59">
        <v>7</v>
      </c>
      <c r="D59">
        <v>1.64</v>
      </c>
      <c r="E59" s="2">
        <v>9.478641648</v>
      </c>
    </row>
    <row r="60" spans="1:5" x14ac:dyDescent="0.2">
      <c r="A60" t="s">
        <v>96</v>
      </c>
      <c r="B60">
        <v>2437</v>
      </c>
      <c r="C60">
        <v>7</v>
      </c>
      <c r="D60">
        <v>23.26</v>
      </c>
      <c r="E60" s="2">
        <v>80.396395859999998</v>
      </c>
    </row>
    <row r="61" spans="1:5" x14ac:dyDescent="0.2">
      <c r="A61" t="s">
        <v>97</v>
      </c>
      <c r="B61">
        <v>1961</v>
      </c>
      <c r="C61">
        <v>7.1</v>
      </c>
      <c r="D61">
        <v>6.32</v>
      </c>
      <c r="E61" s="2">
        <v>18.251744840000001</v>
      </c>
    </row>
    <row r="62" spans="1:5" x14ac:dyDescent="0.2">
      <c r="A62" t="s">
        <v>98</v>
      </c>
      <c r="B62">
        <v>678</v>
      </c>
      <c r="C62">
        <v>6.8</v>
      </c>
      <c r="D62">
        <v>11.45</v>
      </c>
      <c r="E62" s="2">
        <v>41.479943310000003</v>
      </c>
    </row>
    <row r="63" spans="1:5" x14ac:dyDescent="0.2">
      <c r="A63" t="s">
        <v>99</v>
      </c>
      <c r="B63">
        <v>904</v>
      </c>
      <c r="C63">
        <v>7</v>
      </c>
      <c r="D63">
        <v>7.21</v>
      </c>
      <c r="E63" s="2">
        <v>57.599377619999999</v>
      </c>
    </row>
    <row r="64" spans="1:5" x14ac:dyDescent="0.2">
      <c r="A64" t="s">
        <v>100</v>
      </c>
      <c r="B64">
        <v>464</v>
      </c>
      <c r="C64">
        <v>7</v>
      </c>
      <c r="D64">
        <v>3.62</v>
      </c>
      <c r="E64" s="2">
        <v>27.020202019999999</v>
      </c>
    </row>
    <row r="65" spans="1:5" x14ac:dyDescent="0.2">
      <c r="A65" t="s">
        <v>101</v>
      </c>
      <c r="B65">
        <v>1044</v>
      </c>
      <c r="C65">
        <v>7</v>
      </c>
      <c r="D65">
        <v>4.83</v>
      </c>
      <c r="E65" s="2">
        <v>21.512606699999999</v>
      </c>
    </row>
    <row r="66" spans="1:5" x14ac:dyDescent="0.2">
      <c r="A66" t="s">
        <v>102</v>
      </c>
      <c r="B66">
        <v>623</v>
      </c>
      <c r="C66">
        <v>7.1</v>
      </c>
      <c r="D66">
        <v>1.42</v>
      </c>
      <c r="E66" s="2">
        <v>2.2647960829999998</v>
      </c>
    </row>
    <row r="67" spans="1:5" x14ac:dyDescent="0.2">
      <c r="A67" t="s">
        <v>103</v>
      </c>
      <c r="B67">
        <v>667</v>
      </c>
      <c r="C67">
        <v>7.1</v>
      </c>
      <c r="D67">
        <v>1.86</v>
      </c>
      <c r="E67" s="2">
        <v>3.2268360669999998</v>
      </c>
    </row>
    <row r="68" spans="1:5" x14ac:dyDescent="0.2">
      <c r="A68" t="s">
        <v>104</v>
      </c>
      <c r="B68">
        <v>567</v>
      </c>
      <c r="C68">
        <v>6.9</v>
      </c>
      <c r="D68">
        <v>0.97</v>
      </c>
      <c r="E68" s="2">
        <v>2.0094617779999999</v>
      </c>
    </row>
    <row r="69" spans="1:5" x14ac:dyDescent="0.2">
      <c r="A69" t="s">
        <v>105</v>
      </c>
      <c r="B69">
        <v>2022</v>
      </c>
      <c r="C69">
        <v>6.5</v>
      </c>
      <c r="D69">
        <v>2.5299999999999998</v>
      </c>
      <c r="E69" s="2">
        <v>2.554352304</v>
      </c>
    </row>
    <row r="70" spans="1:5" x14ac:dyDescent="0.2">
      <c r="A70" t="s">
        <v>106</v>
      </c>
      <c r="B70">
        <v>1406</v>
      </c>
      <c r="C70">
        <v>6.5</v>
      </c>
      <c r="D70">
        <v>3.24</v>
      </c>
      <c r="E70" s="2">
        <v>5.6203721460000002</v>
      </c>
    </row>
    <row r="71" spans="1:5" x14ac:dyDescent="0.2">
      <c r="A71" t="s">
        <v>107</v>
      </c>
      <c r="B71">
        <v>716</v>
      </c>
      <c r="C71">
        <v>7.1</v>
      </c>
      <c r="D71">
        <v>1.51</v>
      </c>
      <c r="E71" s="2">
        <v>3.0725996389999999</v>
      </c>
    </row>
    <row r="72" spans="1:5" x14ac:dyDescent="0.2">
      <c r="A72" t="s">
        <v>108</v>
      </c>
      <c r="B72">
        <v>909</v>
      </c>
      <c r="C72">
        <v>7</v>
      </c>
      <c r="D72">
        <v>105.9</v>
      </c>
      <c r="E72" s="2">
        <v>49.462273760000002</v>
      </c>
    </row>
    <row r="73" spans="1:5" x14ac:dyDescent="0.2">
      <c r="A73" t="s">
        <v>109</v>
      </c>
      <c r="B73">
        <v>8703</v>
      </c>
      <c r="C73">
        <v>7.1</v>
      </c>
      <c r="D73">
        <v>11.44</v>
      </c>
      <c r="E73" s="2">
        <v>28.137682689999998</v>
      </c>
    </row>
    <row r="74" spans="1:5" x14ac:dyDescent="0.2">
      <c r="A74" t="s">
        <v>110</v>
      </c>
      <c r="B74">
        <v>1429</v>
      </c>
      <c r="C74">
        <v>7</v>
      </c>
      <c r="D74">
        <v>5.25</v>
      </c>
      <c r="E74" s="2">
        <v>26.974340210000001</v>
      </c>
    </row>
    <row r="75" spans="1:5" x14ac:dyDescent="0.2">
      <c r="A75" t="s">
        <v>111</v>
      </c>
      <c r="B75">
        <v>422</v>
      </c>
      <c r="C75">
        <v>7.1</v>
      </c>
      <c r="D75">
        <v>1.79</v>
      </c>
      <c r="E75" s="2">
        <v>6.669461095</v>
      </c>
    </row>
    <row r="76" spans="1:5" x14ac:dyDescent="0.2">
      <c r="A76" t="s">
        <v>112</v>
      </c>
      <c r="B76">
        <v>1606</v>
      </c>
      <c r="C76">
        <v>7</v>
      </c>
      <c r="D76">
        <v>10.78</v>
      </c>
      <c r="E76" s="2">
        <v>38.363825249999998</v>
      </c>
    </row>
    <row r="77" spans="1:5" x14ac:dyDescent="0.2">
      <c r="A77" t="s">
        <v>113</v>
      </c>
      <c r="B77">
        <v>1233</v>
      </c>
      <c r="C77">
        <v>7</v>
      </c>
      <c r="D77">
        <v>3.79</v>
      </c>
      <c r="E77" s="2">
        <v>39.948542510000003</v>
      </c>
    </row>
    <row r="78" spans="1:5" x14ac:dyDescent="0.2">
      <c r="A78" t="s">
        <v>114</v>
      </c>
      <c r="B78">
        <v>930</v>
      </c>
      <c r="C78">
        <v>7.1</v>
      </c>
      <c r="D78">
        <v>91.25</v>
      </c>
      <c r="E78" s="2">
        <v>54.90519157</v>
      </c>
    </row>
    <row r="79" spans="1:5" x14ac:dyDescent="0.2">
      <c r="A79" t="s">
        <v>115</v>
      </c>
      <c r="B79">
        <v>898</v>
      </c>
      <c r="C79">
        <v>7</v>
      </c>
      <c r="D79">
        <v>112.59</v>
      </c>
      <c r="E79" s="2">
        <v>58.859758650000003</v>
      </c>
    </row>
    <row r="80" spans="1:5" x14ac:dyDescent="0.2">
      <c r="A80" t="s">
        <v>116</v>
      </c>
      <c r="B80">
        <v>1811</v>
      </c>
      <c r="C80">
        <v>7</v>
      </c>
      <c r="D80">
        <v>15.56</v>
      </c>
      <c r="E80" s="2">
        <v>23.425863679999999</v>
      </c>
    </row>
    <row r="81" spans="1:5" x14ac:dyDescent="0.2">
      <c r="A81" t="s">
        <v>117</v>
      </c>
      <c r="B81">
        <v>1435</v>
      </c>
      <c r="C81">
        <v>7.2</v>
      </c>
      <c r="D81">
        <v>5</v>
      </c>
      <c r="E81" s="2">
        <v>13.63666519</v>
      </c>
    </row>
    <row r="82" spans="1:5" x14ac:dyDescent="0.2">
      <c r="A82" t="s">
        <v>118</v>
      </c>
      <c r="B82">
        <v>880</v>
      </c>
      <c r="C82">
        <v>7</v>
      </c>
      <c r="D82">
        <v>6.27</v>
      </c>
      <c r="E82" s="2">
        <v>21.741019869999999</v>
      </c>
    </row>
    <row r="83" spans="1:5" x14ac:dyDescent="0.2">
      <c r="A83" t="s">
        <v>119</v>
      </c>
      <c r="B83">
        <v>464</v>
      </c>
      <c r="C83">
        <v>7</v>
      </c>
      <c r="D83">
        <v>3.45</v>
      </c>
      <c r="E83" s="2">
        <v>19.619135050000001</v>
      </c>
    </row>
    <row r="84" spans="1:5" x14ac:dyDescent="0.2">
      <c r="A84" t="s">
        <v>120</v>
      </c>
      <c r="B84">
        <v>834</v>
      </c>
      <c r="C84">
        <v>7</v>
      </c>
      <c r="D84">
        <v>20.88</v>
      </c>
      <c r="E84" s="2">
        <v>60.59219461</v>
      </c>
    </row>
    <row r="85" spans="1:5" x14ac:dyDescent="0.2">
      <c r="A85" t="s">
        <v>121</v>
      </c>
      <c r="B85">
        <v>815</v>
      </c>
      <c r="C85">
        <v>7</v>
      </c>
      <c r="D85">
        <v>7.51</v>
      </c>
      <c r="E85" s="2">
        <v>24.342269569999999</v>
      </c>
    </row>
    <row r="86" spans="1:5" x14ac:dyDescent="0.2">
      <c r="A86" t="s">
        <v>122</v>
      </c>
      <c r="B86">
        <v>1161</v>
      </c>
      <c r="C86">
        <v>7</v>
      </c>
      <c r="D86">
        <v>1.01</v>
      </c>
      <c r="E86" s="2">
        <v>4.4939013819999998</v>
      </c>
    </row>
    <row r="87" spans="1:5" x14ac:dyDescent="0.2">
      <c r="A87" t="s">
        <v>123</v>
      </c>
      <c r="B87">
        <v>1280</v>
      </c>
      <c r="C87">
        <v>7</v>
      </c>
      <c r="D87">
        <v>3.22</v>
      </c>
      <c r="E87" s="2">
        <v>12.7177545</v>
      </c>
    </row>
    <row r="88" spans="1:5" x14ac:dyDescent="0.2">
      <c r="A88" t="s">
        <v>124</v>
      </c>
      <c r="B88">
        <v>1814</v>
      </c>
      <c r="C88">
        <v>7</v>
      </c>
      <c r="D88">
        <v>1.74</v>
      </c>
      <c r="E88" s="2">
        <v>2.0533413029999998</v>
      </c>
    </row>
    <row r="89" spans="1:5" x14ac:dyDescent="0.2">
      <c r="A89" t="s">
        <v>125</v>
      </c>
      <c r="B89">
        <v>675</v>
      </c>
      <c r="C89">
        <v>7</v>
      </c>
      <c r="D89">
        <v>16.97</v>
      </c>
      <c r="E89" s="2">
        <v>30.818110010000002</v>
      </c>
    </row>
    <row r="90" spans="1:5" x14ac:dyDescent="0.2">
      <c r="A90" t="s">
        <v>126</v>
      </c>
      <c r="B90">
        <v>589</v>
      </c>
      <c r="C90">
        <v>7</v>
      </c>
      <c r="D90">
        <v>13.99</v>
      </c>
      <c r="E90" s="2">
        <v>24.892559349999999</v>
      </c>
    </row>
    <row r="91" spans="1:5" x14ac:dyDescent="0.2">
      <c r="A91" t="s">
        <v>127</v>
      </c>
      <c r="B91">
        <v>857</v>
      </c>
      <c r="C91">
        <v>7</v>
      </c>
      <c r="D91">
        <v>2.04</v>
      </c>
      <c r="E91" s="2">
        <v>50.51812915</v>
      </c>
    </row>
    <row r="92" spans="1:5" x14ac:dyDescent="0.2">
      <c r="A92" t="s">
        <v>128</v>
      </c>
      <c r="B92">
        <v>905</v>
      </c>
      <c r="C92">
        <v>7</v>
      </c>
      <c r="D92">
        <v>1.97</v>
      </c>
      <c r="E92" s="2">
        <v>31.852529700000002</v>
      </c>
    </row>
    <row r="93" spans="1:5" x14ac:dyDescent="0.2">
      <c r="A93" t="s">
        <v>129</v>
      </c>
      <c r="B93">
        <v>517</v>
      </c>
      <c r="C93">
        <v>7.1</v>
      </c>
      <c r="D93">
        <v>1.61</v>
      </c>
      <c r="E93" s="2">
        <v>1.5287850780000001</v>
      </c>
    </row>
    <row r="94" spans="1:5" x14ac:dyDescent="0.2">
      <c r="A94" t="s">
        <v>130</v>
      </c>
      <c r="B94">
        <v>1617</v>
      </c>
      <c r="C94">
        <v>9.4</v>
      </c>
      <c r="D94">
        <v>4.62</v>
      </c>
      <c r="E94" s="2">
        <v>22.934179950000001</v>
      </c>
    </row>
    <row r="95" spans="1:5" x14ac:dyDescent="0.2">
      <c r="A95" t="s">
        <v>131</v>
      </c>
      <c r="B95">
        <v>2093</v>
      </c>
      <c r="C95">
        <v>7</v>
      </c>
      <c r="D95">
        <v>12.19</v>
      </c>
      <c r="E95" s="2">
        <v>30.632539560000001</v>
      </c>
    </row>
    <row r="96" spans="1:5" x14ac:dyDescent="0.2">
      <c r="A96" t="s">
        <v>132</v>
      </c>
      <c r="B96">
        <v>1347</v>
      </c>
      <c r="C96">
        <v>7</v>
      </c>
      <c r="D96">
        <v>4.75</v>
      </c>
      <c r="E96" s="2">
        <v>10.391110189999999</v>
      </c>
    </row>
    <row r="97" spans="1:5" x14ac:dyDescent="0.2">
      <c r="A97" t="s">
        <v>133</v>
      </c>
      <c r="B97">
        <v>508</v>
      </c>
      <c r="C97">
        <v>6.9</v>
      </c>
      <c r="D97">
        <v>12.12</v>
      </c>
      <c r="E97" s="2">
        <v>28.808659330000001</v>
      </c>
    </row>
    <row r="98" spans="1:5" x14ac:dyDescent="0.2">
      <c r="A98" t="s">
        <v>134</v>
      </c>
      <c r="B98">
        <v>684</v>
      </c>
      <c r="C98">
        <v>7</v>
      </c>
      <c r="D98">
        <v>1.38</v>
      </c>
      <c r="E98" s="2">
        <v>8.4810191269999997</v>
      </c>
    </row>
  </sheetData>
  <autoFilter ref="A1:E1" xr:uid="{F1A0A673-15A4-554F-AF9A-605320C79D7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731A4-7BDC-FC49-BB09-87154575E8B1}">
  <dimension ref="A1:C565"/>
  <sheetViews>
    <sheetView workbookViewId="0">
      <selection activeCell="D1" sqref="D1"/>
    </sheetView>
  </sheetViews>
  <sheetFormatPr baseColWidth="10" defaultRowHeight="15" x14ac:dyDescent="0.2"/>
  <cols>
    <col min="2" max="2" width="17.5" bestFit="1" customWidth="1"/>
    <col min="3" max="3" width="23" bestFit="1" customWidth="1"/>
  </cols>
  <sheetData>
    <row r="1" spans="1:3" x14ac:dyDescent="0.2">
      <c r="A1" s="1" t="s">
        <v>195</v>
      </c>
      <c r="B1" s="1" t="s">
        <v>196</v>
      </c>
      <c r="C1" s="1" t="s">
        <v>198</v>
      </c>
    </row>
    <row r="2" spans="1:3" x14ac:dyDescent="0.2">
      <c r="A2">
        <v>1</v>
      </c>
      <c r="B2">
        <v>2.4</v>
      </c>
      <c r="C2" s="2">
        <v>3590.194915</v>
      </c>
    </row>
    <row r="3" spans="1:3" x14ac:dyDescent="0.2">
      <c r="A3">
        <v>1</v>
      </c>
      <c r="B3">
        <v>0.1</v>
      </c>
      <c r="C3" s="2">
        <v>5932.3730169999999</v>
      </c>
    </row>
    <row r="4" spans="1:3" x14ac:dyDescent="0.2">
      <c r="A4">
        <v>1</v>
      </c>
      <c r="B4">
        <v>1.3</v>
      </c>
      <c r="C4" s="2">
        <v>3892.4264899999998</v>
      </c>
    </row>
    <row r="5" spans="1:3" x14ac:dyDescent="0.2">
      <c r="A5">
        <v>1</v>
      </c>
      <c r="B5">
        <v>1.8</v>
      </c>
      <c r="C5" s="2">
        <v>4597.5886899999996</v>
      </c>
    </row>
    <row r="6" spans="1:3" x14ac:dyDescent="0.2">
      <c r="A6">
        <v>1</v>
      </c>
      <c r="B6">
        <v>0</v>
      </c>
      <c r="C6" s="2">
        <v>5050.5777879999996</v>
      </c>
    </row>
    <row r="7" spans="1:3" x14ac:dyDescent="0.2">
      <c r="A7">
        <v>1</v>
      </c>
      <c r="B7">
        <v>0</v>
      </c>
      <c r="C7" s="2">
        <v>5176.6087950000001</v>
      </c>
    </row>
    <row r="8" spans="1:3" x14ac:dyDescent="0.2">
      <c r="A8">
        <v>2</v>
      </c>
      <c r="B8">
        <v>2.4</v>
      </c>
      <c r="C8" s="2">
        <v>4372.4417599999997</v>
      </c>
    </row>
    <row r="9" spans="1:3" x14ac:dyDescent="0.2">
      <c r="A9">
        <v>2</v>
      </c>
      <c r="B9">
        <v>0.1</v>
      </c>
      <c r="C9" s="2">
        <v>4696.5769710000004</v>
      </c>
    </row>
    <row r="10" spans="1:3" x14ac:dyDescent="0.2">
      <c r="A10">
        <v>2</v>
      </c>
      <c r="B10">
        <v>1.3</v>
      </c>
      <c r="C10" s="2">
        <v>5025.9461179999998</v>
      </c>
    </row>
    <row r="11" spans="1:3" x14ac:dyDescent="0.2">
      <c r="A11">
        <v>2</v>
      </c>
      <c r="B11">
        <v>1.8</v>
      </c>
      <c r="C11" s="2">
        <v>5042.8000259999999</v>
      </c>
    </row>
    <row r="12" spans="1:3" x14ac:dyDescent="0.2">
      <c r="A12">
        <v>2</v>
      </c>
      <c r="B12">
        <v>0</v>
      </c>
      <c r="C12" s="2">
        <v>4599.5423940000001</v>
      </c>
    </row>
    <row r="13" spans="1:3" x14ac:dyDescent="0.2">
      <c r="A13">
        <v>2</v>
      </c>
      <c r="B13">
        <v>0</v>
      </c>
      <c r="C13" s="2">
        <v>4684.1852609999996</v>
      </c>
    </row>
    <row r="14" spans="1:3" x14ac:dyDescent="0.2">
      <c r="A14">
        <v>3</v>
      </c>
      <c r="B14">
        <v>1.3</v>
      </c>
      <c r="C14" s="2">
        <v>2405.765527</v>
      </c>
    </row>
    <row r="15" spans="1:3" x14ac:dyDescent="0.2">
      <c r="A15">
        <v>3</v>
      </c>
      <c r="B15">
        <v>1.8</v>
      </c>
      <c r="C15" s="2">
        <v>1445.9543200000001</v>
      </c>
    </row>
    <row r="16" spans="1:3" x14ac:dyDescent="0.2">
      <c r="A16">
        <v>3</v>
      </c>
      <c r="B16">
        <v>0</v>
      </c>
      <c r="C16" s="2">
        <v>6053.8716180000001</v>
      </c>
    </row>
    <row r="17" spans="1:3" x14ac:dyDescent="0.2">
      <c r="A17">
        <v>3</v>
      </c>
      <c r="B17">
        <v>0</v>
      </c>
      <c r="C17" s="2">
        <v>2802.684276</v>
      </c>
    </row>
    <row r="18" spans="1:3" x14ac:dyDescent="0.2">
      <c r="A18">
        <v>3</v>
      </c>
      <c r="B18">
        <v>0</v>
      </c>
      <c r="C18" s="2">
        <v>6874.778233</v>
      </c>
    </row>
    <row r="19" spans="1:3" x14ac:dyDescent="0.2">
      <c r="A19">
        <v>3</v>
      </c>
      <c r="B19">
        <v>19.899999999999999</v>
      </c>
      <c r="C19" s="2">
        <v>4654.4972040000002</v>
      </c>
    </row>
    <row r="20" spans="1:3" x14ac:dyDescent="0.2">
      <c r="A20">
        <v>4</v>
      </c>
      <c r="B20">
        <v>0</v>
      </c>
      <c r="C20" s="2">
        <v>3268.27513</v>
      </c>
    </row>
    <row r="21" spans="1:3" x14ac:dyDescent="0.2">
      <c r="A21">
        <v>4</v>
      </c>
      <c r="B21">
        <v>19.899999999999999</v>
      </c>
      <c r="C21" s="2">
        <v>3077.266779</v>
      </c>
    </row>
    <row r="22" spans="1:3" x14ac:dyDescent="0.2">
      <c r="A22">
        <v>4</v>
      </c>
      <c r="B22">
        <v>3.2</v>
      </c>
      <c r="C22" s="2">
        <v>3575.1702340000002</v>
      </c>
    </row>
    <row r="23" spans="1:3" x14ac:dyDescent="0.2">
      <c r="A23">
        <v>4</v>
      </c>
      <c r="B23">
        <v>5.7</v>
      </c>
      <c r="C23" s="2">
        <v>3733.409032</v>
      </c>
    </row>
    <row r="24" spans="1:3" x14ac:dyDescent="0.2">
      <c r="A24">
        <v>4</v>
      </c>
      <c r="B24">
        <v>11.6</v>
      </c>
      <c r="C24" s="2">
        <v>3358.1740490000002</v>
      </c>
    </row>
    <row r="25" spans="1:3" x14ac:dyDescent="0.2">
      <c r="A25">
        <v>4</v>
      </c>
      <c r="B25">
        <v>0.5</v>
      </c>
      <c r="C25" s="2">
        <v>3178.8183979999999</v>
      </c>
    </row>
    <row r="26" spans="1:3" x14ac:dyDescent="0.2">
      <c r="A26">
        <v>5</v>
      </c>
      <c r="B26">
        <v>0</v>
      </c>
      <c r="C26" s="2">
        <v>6102.0317530000002</v>
      </c>
    </row>
    <row r="27" spans="1:3" x14ac:dyDescent="0.2">
      <c r="A27">
        <v>5</v>
      </c>
      <c r="B27">
        <v>0</v>
      </c>
      <c r="C27" s="2">
        <v>5544.033351</v>
      </c>
    </row>
    <row r="28" spans="1:3" x14ac:dyDescent="0.2">
      <c r="A28">
        <v>5</v>
      </c>
      <c r="B28">
        <v>19.899999999999999</v>
      </c>
      <c r="C28" s="2">
        <v>1975.127565</v>
      </c>
    </row>
    <row r="29" spans="1:3" x14ac:dyDescent="0.2">
      <c r="A29">
        <v>5</v>
      </c>
      <c r="B29">
        <v>3.2</v>
      </c>
      <c r="C29" s="2">
        <v>4401.7533910000002</v>
      </c>
    </row>
    <row r="30" spans="1:3" x14ac:dyDescent="0.2">
      <c r="A30">
        <v>5</v>
      </c>
      <c r="B30">
        <v>5.7</v>
      </c>
      <c r="C30" s="2">
        <v>2343.3921999999998</v>
      </c>
    </row>
    <row r="31" spans="1:3" x14ac:dyDescent="0.2">
      <c r="A31">
        <v>5</v>
      </c>
      <c r="B31">
        <v>11.6</v>
      </c>
      <c r="C31" s="2">
        <v>1758.7626780000001</v>
      </c>
    </row>
    <row r="32" spans="1:3" x14ac:dyDescent="0.2">
      <c r="A32">
        <v>6</v>
      </c>
      <c r="B32">
        <v>3.2</v>
      </c>
      <c r="C32" s="2">
        <v>1424.954984</v>
      </c>
    </row>
    <row r="33" spans="1:3" x14ac:dyDescent="0.2">
      <c r="A33">
        <v>6</v>
      </c>
      <c r="B33">
        <v>5.7</v>
      </c>
      <c r="C33" s="2">
        <v>5246.810082</v>
      </c>
    </row>
    <row r="34" spans="1:3" x14ac:dyDescent="0.2">
      <c r="A34">
        <v>6</v>
      </c>
      <c r="B34">
        <v>11.6</v>
      </c>
      <c r="C34" s="2">
        <v>5073.3188239999999</v>
      </c>
    </row>
    <row r="35" spans="1:3" x14ac:dyDescent="0.2">
      <c r="A35">
        <v>6</v>
      </c>
      <c r="B35">
        <v>0.5</v>
      </c>
      <c r="C35" s="2">
        <v>4259.057933</v>
      </c>
    </row>
    <row r="36" spans="1:3" x14ac:dyDescent="0.2">
      <c r="A36">
        <v>6</v>
      </c>
      <c r="B36">
        <v>0</v>
      </c>
      <c r="C36" s="2">
        <v>4327.1239729999998</v>
      </c>
    </row>
    <row r="37" spans="1:3" x14ac:dyDescent="0.2">
      <c r="A37">
        <v>6</v>
      </c>
      <c r="B37">
        <v>0.1</v>
      </c>
      <c r="C37" s="2">
        <v>3460.7466020000002</v>
      </c>
    </row>
    <row r="38" spans="1:3" x14ac:dyDescent="0.2">
      <c r="A38">
        <v>7</v>
      </c>
      <c r="B38">
        <v>3.2</v>
      </c>
      <c r="C38" s="2">
        <v>5492.4844389999998</v>
      </c>
    </row>
    <row r="39" spans="1:3" x14ac:dyDescent="0.2">
      <c r="A39">
        <v>7</v>
      </c>
      <c r="B39">
        <v>5.7</v>
      </c>
      <c r="C39" s="2">
        <v>5673.2101830000001</v>
      </c>
    </row>
    <row r="40" spans="1:3" x14ac:dyDescent="0.2">
      <c r="A40">
        <v>7</v>
      </c>
      <c r="B40">
        <v>11.6</v>
      </c>
      <c r="C40" s="2">
        <v>3728.4919319999999</v>
      </c>
    </row>
    <row r="41" spans="1:3" x14ac:dyDescent="0.2">
      <c r="A41">
        <v>7</v>
      </c>
      <c r="B41">
        <v>0.5</v>
      </c>
      <c r="C41" s="2">
        <v>3586.8788989999998</v>
      </c>
    </row>
    <row r="42" spans="1:3" x14ac:dyDescent="0.2">
      <c r="A42">
        <v>7</v>
      </c>
      <c r="B42">
        <v>0</v>
      </c>
      <c r="C42" s="2">
        <v>5968.0272599999998</v>
      </c>
    </row>
    <row r="43" spans="1:3" x14ac:dyDescent="0.2">
      <c r="A43">
        <v>7</v>
      </c>
      <c r="B43">
        <v>0.1</v>
      </c>
      <c r="C43" s="2">
        <v>3673.9335970000002</v>
      </c>
    </row>
    <row r="44" spans="1:3" x14ac:dyDescent="0.2">
      <c r="A44">
        <v>8</v>
      </c>
      <c r="B44">
        <v>3.2</v>
      </c>
      <c r="C44" s="2">
        <v>1358.425495</v>
      </c>
    </row>
    <row r="45" spans="1:3" x14ac:dyDescent="0.2">
      <c r="A45">
        <v>8</v>
      </c>
      <c r="B45">
        <v>5.7</v>
      </c>
      <c r="C45" s="2">
        <v>6322.976541</v>
      </c>
    </row>
    <row r="46" spans="1:3" x14ac:dyDescent="0.2">
      <c r="A46">
        <v>8</v>
      </c>
      <c r="B46">
        <v>11.6</v>
      </c>
      <c r="C46" s="2">
        <v>7857.1827439999997</v>
      </c>
    </row>
    <row r="47" spans="1:3" x14ac:dyDescent="0.2">
      <c r="A47">
        <v>8</v>
      </c>
      <c r="B47">
        <v>0.5</v>
      </c>
      <c r="C47" s="2">
        <v>3660.9422380000001</v>
      </c>
    </row>
    <row r="48" spans="1:3" x14ac:dyDescent="0.2">
      <c r="A48">
        <v>8</v>
      </c>
      <c r="B48">
        <v>0</v>
      </c>
      <c r="C48" s="2">
        <v>1554.918531</v>
      </c>
    </row>
    <row r="49" spans="1:3" x14ac:dyDescent="0.2">
      <c r="A49">
        <v>8</v>
      </c>
      <c r="B49">
        <v>0.1</v>
      </c>
      <c r="C49" s="2">
        <v>6593.9932840000001</v>
      </c>
    </row>
    <row r="50" spans="1:3" x14ac:dyDescent="0.2">
      <c r="A50">
        <v>8</v>
      </c>
      <c r="B50">
        <v>0.6</v>
      </c>
      <c r="C50" s="2">
        <v>2538.0914699999998</v>
      </c>
    </row>
    <row r="51" spans="1:3" x14ac:dyDescent="0.2">
      <c r="A51">
        <v>8</v>
      </c>
      <c r="B51">
        <v>5</v>
      </c>
      <c r="C51" s="2">
        <v>2202.0531599999999</v>
      </c>
    </row>
    <row r="52" spans="1:3" x14ac:dyDescent="0.2">
      <c r="A52">
        <v>10</v>
      </c>
      <c r="B52">
        <v>2.9</v>
      </c>
      <c r="C52" s="2">
        <v>819.71796210000002</v>
      </c>
    </row>
    <row r="53" spans="1:3" x14ac:dyDescent="0.2">
      <c r="A53">
        <v>10</v>
      </c>
      <c r="B53">
        <v>1.1000000000000001</v>
      </c>
      <c r="C53" s="2">
        <v>863.7453792</v>
      </c>
    </row>
    <row r="54" spans="1:3" x14ac:dyDescent="0.2">
      <c r="A54">
        <v>10</v>
      </c>
      <c r="B54">
        <v>0.5</v>
      </c>
      <c r="C54" s="2">
        <v>1803.363826</v>
      </c>
    </row>
    <row r="55" spans="1:3" x14ac:dyDescent="0.2">
      <c r="A55">
        <v>10</v>
      </c>
      <c r="B55">
        <v>0.1</v>
      </c>
      <c r="C55" s="2">
        <v>1008.656647</v>
      </c>
    </row>
    <row r="56" spans="1:3" x14ac:dyDescent="0.2">
      <c r="A56">
        <v>10</v>
      </c>
      <c r="B56">
        <v>0</v>
      </c>
      <c r="C56" s="2">
        <v>322.5608593</v>
      </c>
    </row>
    <row r="57" spans="1:3" x14ac:dyDescent="0.2">
      <c r="A57">
        <v>10</v>
      </c>
      <c r="B57">
        <v>0.1</v>
      </c>
      <c r="C57" s="2">
        <v>642.00828980000006</v>
      </c>
    </row>
    <row r="58" spans="1:3" x14ac:dyDescent="0.2">
      <c r="A58">
        <v>10</v>
      </c>
      <c r="B58">
        <v>3.2</v>
      </c>
      <c r="C58" s="2">
        <v>405.51701709999998</v>
      </c>
    </row>
    <row r="59" spans="1:3" x14ac:dyDescent="0.2">
      <c r="A59">
        <v>11</v>
      </c>
      <c r="B59">
        <v>0</v>
      </c>
      <c r="C59" s="2">
        <v>3003.7918519999998</v>
      </c>
    </row>
    <row r="60" spans="1:3" x14ac:dyDescent="0.2">
      <c r="A60">
        <v>11</v>
      </c>
      <c r="B60">
        <v>0.1</v>
      </c>
      <c r="C60" s="2">
        <v>2283.499742</v>
      </c>
    </row>
    <row r="61" spans="1:3" x14ac:dyDescent="0.2">
      <c r="A61">
        <v>11</v>
      </c>
      <c r="B61">
        <v>0.6</v>
      </c>
      <c r="C61" s="2">
        <v>2934.2769709999998</v>
      </c>
    </row>
    <row r="62" spans="1:3" x14ac:dyDescent="0.2">
      <c r="A62">
        <v>11</v>
      </c>
      <c r="B62">
        <v>5</v>
      </c>
      <c r="C62" s="2">
        <v>2012.1614070000001</v>
      </c>
    </row>
    <row r="63" spans="1:3" x14ac:dyDescent="0.2">
      <c r="A63">
        <v>11</v>
      </c>
      <c r="B63">
        <v>9.1</v>
      </c>
      <c r="C63" s="2">
        <v>561.6470018</v>
      </c>
    </row>
    <row r="64" spans="1:3" x14ac:dyDescent="0.2">
      <c r="A64">
        <v>11</v>
      </c>
      <c r="B64">
        <v>41.3</v>
      </c>
      <c r="C64" s="2">
        <v>859.74844900000005</v>
      </c>
    </row>
    <row r="65" spans="1:3" x14ac:dyDescent="0.2">
      <c r="A65">
        <v>12</v>
      </c>
      <c r="B65">
        <v>0</v>
      </c>
      <c r="C65" s="2">
        <v>1909.7652210000001</v>
      </c>
    </row>
    <row r="66" spans="1:3" x14ac:dyDescent="0.2">
      <c r="A66">
        <v>12</v>
      </c>
      <c r="B66">
        <v>0.1</v>
      </c>
      <c r="C66" s="2">
        <v>2837.3164569999999</v>
      </c>
    </row>
    <row r="67" spans="1:3" x14ac:dyDescent="0.2">
      <c r="A67">
        <v>12</v>
      </c>
      <c r="B67">
        <v>0.6</v>
      </c>
      <c r="C67" s="2">
        <v>2717.325053</v>
      </c>
    </row>
    <row r="68" spans="1:3" x14ac:dyDescent="0.2">
      <c r="A68">
        <v>12</v>
      </c>
      <c r="B68">
        <v>5</v>
      </c>
      <c r="C68" s="2">
        <v>1561.3056919999999</v>
      </c>
    </row>
    <row r="69" spans="1:3" x14ac:dyDescent="0.2">
      <c r="A69">
        <v>12</v>
      </c>
      <c r="B69">
        <v>9.1</v>
      </c>
      <c r="C69" s="2">
        <v>996.36482520000004</v>
      </c>
    </row>
    <row r="70" spans="1:3" x14ac:dyDescent="0.2">
      <c r="A70">
        <v>12</v>
      </c>
      <c r="B70">
        <v>41.3</v>
      </c>
      <c r="C70" s="2">
        <v>1038.3319839999999</v>
      </c>
    </row>
    <row r="71" spans="1:3" x14ac:dyDescent="0.2">
      <c r="A71">
        <v>13</v>
      </c>
      <c r="B71">
        <v>0.1</v>
      </c>
      <c r="C71" s="2">
        <v>2762.561299</v>
      </c>
    </row>
    <row r="72" spans="1:3" x14ac:dyDescent="0.2">
      <c r="A72">
        <v>13</v>
      </c>
      <c r="B72">
        <v>0.6</v>
      </c>
      <c r="C72" s="2">
        <v>1802.3180359999999</v>
      </c>
    </row>
    <row r="73" spans="1:3" x14ac:dyDescent="0.2">
      <c r="A73">
        <v>13</v>
      </c>
      <c r="B73">
        <v>5</v>
      </c>
      <c r="C73" s="2">
        <v>2260.0506620000001</v>
      </c>
    </row>
    <row r="74" spans="1:3" x14ac:dyDescent="0.2">
      <c r="A74">
        <v>13</v>
      </c>
      <c r="B74">
        <v>9.1</v>
      </c>
      <c r="C74" s="2">
        <v>1047.1062469999999</v>
      </c>
    </row>
    <row r="75" spans="1:3" x14ac:dyDescent="0.2">
      <c r="A75">
        <v>13</v>
      </c>
      <c r="B75">
        <v>41.3</v>
      </c>
      <c r="C75" s="2">
        <v>1896.7935789999999</v>
      </c>
    </row>
    <row r="76" spans="1:3" x14ac:dyDescent="0.2">
      <c r="A76">
        <v>13</v>
      </c>
      <c r="B76">
        <v>3.3</v>
      </c>
      <c r="C76" s="2">
        <v>2042.5202019999999</v>
      </c>
    </row>
    <row r="77" spans="1:3" x14ac:dyDescent="0.2">
      <c r="A77">
        <v>14</v>
      </c>
      <c r="B77">
        <v>0</v>
      </c>
      <c r="C77" s="2">
        <v>1220.4050709999999</v>
      </c>
    </row>
    <row r="78" spans="1:3" x14ac:dyDescent="0.2">
      <c r="A78">
        <v>14</v>
      </c>
      <c r="B78">
        <v>0</v>
      </c>
      <c r="C78" s="2">
        <v>946.55073170000003</v>
      </c>
    </row>
    <row r="79" spans="1:3" x14ac:dyDescent="0.2">
      <c r="A79">
        <v>14</v>
      </c>
      <c r="B79">
        <v>0</v>
      </c>
      <c r="C79" s="2">
        <v>2980.1925259999998</v>
      </c>
    </row>
    <row r="80" spans="1:3" x14ac:dyDescent="0.2">
      <c r="A80">
        <v>14</v>
      </c>
      <c r="B80">
        <v>0</v>
      </c>
      <c r="C80" s="2">
        <v>940.83096390000003</v>
      </c>
    </row>
    <row r="81" spans="1:3" x14ac:dyDescent="0.2">
      <c r="A81">
        <v>14</v>
      </c>
      <c r="B81">
        <v>3</v>
      </c>
      <c r="C81" s="2">
        <v>1215.435673</v>
      </c>
    </row>
    <row r="82" spans="1:3" x14ac:dyDescent="0.2">
      <c r="A82">
        <v>15</v>
      </c>
      <c r="B82">
        <v>0</v>
      </c>
      <c r="C82" s="2">
        <v>972.86070970000003</v>
      </c>
    </row>
    <row r="83" spans="1:3" x14ac:dyDescent="0.2">
      <c r="A83">
        <v>15</v>
      </c>
      <c r="B83">
        <v>0</v>
      </c>
      <c r="C83" s="2">
        <v>957.29407579999997</v>
      </c>
    </row>
    <row r="84" spans="1:3" x14ac:dyDescent="0.2">
      <c r="A84">
        <v>15</v>
      </c>
      <c r="B84">
        <v>0</v>
      </c>
      <c r="C84" s="2">
        <v>77.223258470000005</v>
      </c>
    </row>
    <row r="85" spans="1:3" x14ac:dyDescent="0.2">
      <c r="A85">
        <v>15</v>
      </c>
      <c r="B85">
        <v>0</v>
      </c>
      <c r="C85" s="2">
        <v>1217.4851900000001</v>
      </c>
    </row>
    <row r="86" spans="1:3" x14ac:dyDescent="0.2">
      <c r="A86">
        <v>15</v>
      </c>
      <c r="B86">
        <v>0</v>
      </c>
      <c r="C86" s="2">
        <v>2256.465271</v>
      </c>
    </row>
    <row r="87" spans="1:3" x14ac:dyDescent="0.2">
      <c r="A87">
        <v>15</v>
      </c>
      <c r="B87">
        <v>3</v>
      </c>
      <c r="C87" s="2">
        <v>3204.3768209999998</v>
      </c>
    </row>
    <row r="88" spans="1:3" x14ac:dyDescent="0.2">
      <c r="A88">
        <v>16</v>
      </c>
      <c r="B88">
        <v>0</v>
      </c>
      <c r="C88" s="2">
        <v>3327.8381570000001</v>
      </c>
    </row>
    <row r="89" spans="1:3" x14ac:dyDescent="0.2">
      <c r="A89">
        <v>16</v>
      </c>
      <c r="B89">
        <v>0</v>
      </c>
      <c r="C89" s="2">
        <v>4929.637393</v>
      </c>
    </row>
    <row r="90" spans="1:3" x14ac:dyDescent="0.2">
      <c r="A90">
        <v>16</v>
      </c>
      <c r="B90">
        <v>0.2</v>
      </c>
      <c r="C90" s="2">
        <v>4159.4813180000001</v>
      </c>
    </row>
    <row r="91" spans="1:3" x14ac:dyDescent="0.2">
      <c r="A91">
        <v>16</v>
      </c>
      <c r="B91">
        <v>3.4</v>
      </c>
      <c r="C91" s="2">
        <v>3554.6623719999998</v>
      </c>
    </row>
    <row r="92" spans="1:3" x14ac:dyDescent="0.2">
      <c r="A92">
        <v>16</v>
      </c>
      <c r="B92">
        <v>8.1999999999999993</v>
      </c>
      <c r="C92" s="2">
        <v>3963.8810749999998</v>
      </c>
    </row>
    <row r="93" spans="1:3" x14ac:dyDescent="0.2">
      <c r="A93">
        <v>16</v>
      </c>
      <c r="B93">
        <v>2.7</v>
      </c>
      <c r="C93" s="2">
        <v>3579.6558620000001</v>
      </c>
    </row>
    <row r="94" spans="1:3" x14ac:dyDescent="0.2">
      <c r="A94">
        <v>17</v>
      </c>
      <c r="B94">
        <v>0</v>
      </c>
      <c r="C94" s="2">
        <v>5636.1436890000004</v>
      </c>
    </row>
    <row r="95" spans="1:3" x14ac:dyDescent="0.2">
      <c r="A95">
        <v>17</v>
      </c>
      <c r="B95">
        <v>0</v>
      </c>
      <c r="C95" s="2">
        <v>4739.7656029999998</v>
      </c>
    </row>
    <row r="96" spans="1:3" x14ac:dyDescent="0.2">
      <c r="A96">
        <v>17</v>
      </c>
      <c r="B96">
        <v>0</v>
      </c>
      <c r="C96" s="2">
        <v>5160.3796549999997</v>
      </c>
    </row>
    <row r="97" spans="1:3" x14ac:dyDescent="0.2">
      <c r="A97">
        <v>17</v>
      </c>
      <c r="B97">
        <v>0.2</v>
      </c>
      <c r="C97" s="2">
        <v>7217.718237</v>
      </c>
    </row>
    <row r="98" spans="1:3" x14ac:dyDescent="0.2">
      <c r="A98">
        <v>17</v>
      </c>
      <c r="B98">
        <v>3.4</v>
      </c>
      <c r="C98" s="2">
        <v>5802.0334499999999</v>
      </c>
    </row>
    <row r="99" spans="1:3" x14ac:dyDescent="0.2">
      <c r="A99">
        <v>17</v>
      </c>
      <c r="B99">
        <v>8.1999999999999993</v>
      </c>
      <c r="C99" s="2">
        <v>1980.655673</v>
      </c>
    </row>
    <row r="100" spans="1:3" x14ac:dyDescent="0.2">
      <c r="A100">
        <v>18</v>
      </c>
      <c r="B100">
        <v>0</v>
      </c>
      <c r="C100" s="2">
        <v>4135.9350379999996</v>
      </c>
    </row>
    <row r="101" spans="1:3" x14ac:dyDescent="0.2">
      <c r="A101">
        <v>18</v>
      </c>
      <c r="B101">
        <v>0</v>
      </c>
      <c r="C101" s="2">
        <v>2364.9759650000001</v>
      </c>
    </row>
    <row r="102" spans="1:3" x14ac:dyDescent="0.2">
      <c r="A102">
        <v>18</v>
      </c>
      <c r="B102">
        <v>0.3</v>
      </c>
      <c r="C102" s="2">
        <v>817.44204100000002</v>
      </c>
    </row>
    <row r="103" spans="1:3" x14ac:dyDescent="0.2">
      <c r="A103">
        <v>18</v>
      </c>
      <c r="B103">
        <v>1.5</v>
      </c>
      <c r="C103" s="2">
        <v>2536.0714739999999</v>
      </c>
    </row>
    <row r="104" spans="1:3" x14ac:dyDescent="0.2">
      <c r="A104">
        <v>18</v>
      </c>
      <c r="B104">
        <v>3.1</v>
      </c>
      <c r="C104" s="2">
        <v>2731.5314629999998</v>
      </c>
    </row>
    <row r="105" spans="1:3" x14ac:dyDescent="0.2">
      <c r="A105">
        <v>18</v>
      </c>
      <c r="B105">
        <v>0</v>
      </c>
      <c r="C105" s="2">
        <v>2961.3530350000001</v>
      </c>
    </row>
    <row r="106" spans="1:3" x14ac:dyDescent="0.2">
      <c r="A106">
        <v>19</v>
      </c>
      <c r="B106">
        <v>0</v>
      </c>
      <c r="C106" s="2">
        <v>8611.8281420000003</v>
      </c>
    </row>
    <row r="107" spans="1:3" x14ac:dyDescent="0.2">
      <c r="A107">
        <v>19</v>
      </c>
      <c r="B107">
        <v>0.6</v>
      </c>
      <c r="C107" s="2">
        <v>5764.980955</v>
      </c>
    </row>
    <row r="108" spans="1:3" x14ac:dyDescent="0.2">
      <c r="A108">
        <v>19</v>
      </c>
      <c r="B108">
        <v>0.5</v>
      </c>
      <c r="C108" s="2">
        <v>6045.1939300000004</v>
      </c>
    </row>
    <row r="109" spans="1:3" x14ac:dyDescent="0.2">
      <c r="A109">
        <v>19</v>
      </c>
      <c r="B109">
        <v>2.1</v>
      </c>
      <c r="C109" s="2">
        <v>6179.0200569999997</v>
      </c>
    </row>
    <row r="110" spans="1:3" x14ac:dyDescent="0.2">
      <c r="A110">
        <v>19</v>
      </c>
      <c r="B110">
        <v>0.1</v>
      </c>
      <c r="C110" s="2">
        <v>5971.6048769999998</v>
      </c>
    </row>
    <row r="111" spans="1:3" x14ac:dyDescent="0.2">
      <c r="A111">
        <v>19</v>
      </c>
      <c r="B111">
        <v>0.1</v>
      </c>
      <c r="C111" s="2">
        <v>4012.2425699999999</v>
      </c>
    </row>
    <row r="112" spans="1:3" x14ac:dyDescent="0.2">
      <c r="A112">
        <v>20</v>
      </c>
      <c r="B112">
        <v>0</v>
      </c>
      <c r="C112" s="2">
        <v>5844.1149830000004</v>
      </c>
    </row>
    <row r="113" spans="1:3" x14ac:dyDescent="0.2">
      <c r="A113">
        <v>20</v>
      </c>
      <c r="B113">
        <v>0.4</v>
      </c>
      <c r="C113" s="2">
        <v>4269.6563459999998</v>
      </c>
    </row>
    <row r="114" spans="1:3" x14ac:dyDescent="0.2">
      <c r="A114">
        <v>20</v>
      </c>
      <c r="B114">
        <v>2.7</v>
      </c>
      <c r="C114" s="2">
        <v>4303.6746480000002</v>
      </c>
    </row>
    <row r="115" spans="1:3" x14ac:dyDescent="0.2">
      <c r="A115">
        <v>20</v>
      </c>
      <c r="B115">
        <v>0.9</v>
      </c>
      <c r="C115" s="2">
        <v>6114.9926329999998</v>
      </c>
    </row>
    <row r="116" spans="1:3" x14ac:dyDescent="0.2">
      <c r="A116">
        <v>20</v>
      </c>
      <c r="B116">
        <v>0.2</v>
      </c>
      <c r="C116" s="2">
        <v>9125.4076430000005</v>
      </c>
    </row>
    <row r="117" spans="1:3" x14ac:dyDescent="0.2">
      <c r="A117">
        <v>20</v>
      </c>
      <c r="B117">
        <v>0</v>
      </c>
      <c r="C117" s="2">
        <v>2889.7117170000001</v>
      </c>
    </row>
    <row r="118" spans="1:3" x14ac:dyDescent="0.2">
      <c r="A118">
        <v>21</v>
      </c>
      <c r="B118">
        <v>0</v>
      </c>
      <c r="C118" s="2">
        <v>4777.8467389999996</v>
      </c>
    </row>
    <row r="119" spans="1:3" x14ac:dyDescent="0.2">
      <c r="A119">
        <v>21</v>
      </c>
      <c r="B119">
        <v>0.1</v>
      </c>
      <c r="C119" s="2">
        <v>6025.5623340000002</v>
      </c>
    </row>
    <row r="120" spans="1:3" x14ac:dyDescent="0.2">
      <c r="A120">
        <v>21</v>
      </c>
      <c r="B120">
        <v>1.3</v>
      </c>
      <c r="C120" s="2">
        <v>5482.2295729999996</v>
      </c>
    </row>
    <row r="121" spans="1:3" x14ac:dyDescent="0.2">
      <c r="A121">
        <v>21</v>
      </c>
      <c r="B121">
        <v>0</v>
      </c>
      <c r="C121" s="2">
        <v>1581.4974480000001</v>
      </c>
    </row>
    <row r="122" spans="1:3" x14ac:dyDescent="0.2">
      <c r="A122">
        <v>21</v>
      </c>
      <c r="B122">
        <v>0</v>
      </c>
      <c r="C122" s="2">
        <v>3572.4302699999998</v>
      </c>
    </row>
    <row r="123" spans="1:3" x14ac:dyDescent="0.2">
      <c r="A123">
        <v>21</v>
      </c>
      <c r="B123">
        <v>10.3</v>
      </c>
      <c r="C123" s="2">
        <v>1671.4589820000001</v>
      </c>
    </row>
    <row r="124" spans="1:3" x14ac:dyDescent="0.2">
      <c r="A124">
        <v>22</v>
      </c>
      <c r="B124">
        <v>0.6</v>
      </c>
      <c r="C124" s="2">
        <v>704.53344189999996</v>
      </c>
    </row>
    <row r="125" spans="1:3" x14ac:dyDescent="0.2">
      <c r="A125">
        <v>22</v>
      </c>
      <c r="B125">
        <v>0.5</v>
      </c>
      <c r="C125" s="2">
        <v>1836.3626790000001</v>
      </c>
    </row>
    <row r="126" spans="1:3" x14ac:dyDescent="0.2">
      <c r="A126">
        <v>22</v>
      </c>
      <c r="B126">
        <v>2.1</v>
      </c>
      <c r="C126" s="2">
        <v>3599.5812519999999</v>
      </c>
    </row>
    <row r="127" spans="1:3" x14ac:dyDescent="0.2">
      <c r="A127">
        <v>22</v>
      </c>
      <c r="B127">
        <v>0.1</v>
      </c>
      <c r="C127" s="2">
        <v>3641.310086</v>
      </c>
    </row>
    <row r="128" spans="1:3" x14ac:dyDescent="0.2">
      <c r="A128">
        <v>22</v>
      </c>
      <c r="B128">
        <v>0.1</v>
      </c>
      <c r="C128" s="2">
        <v>947.65924710000002</v>
      </c>
    </row>
    <row r="129" spans="1:3" x14ac:dyDescent="0.2">
      <c r="A129">
        <v>22</v>
      </c>
      <c r="B129">
        <v>9.5</v>
      </c>
      <c r="C129" s="2">
        <v>1267.545382</v>
      </c>
    </row>
    <row r="130" spans="1:3" x14ac:dyDescent="0.2">
      <c r="A130">
        <v>23</v>
      </c>
      <c r="B130">
        <v>17.100000000000001</v>
      </c>
      <c r="C130" s="2">
        <v>2689.7833999999998</v>
      </c>
    </row>
    <row r="131" spans="1:3" x14ac:dyDescent="0.2">
      <c r="A131">
        <v>23</v>
      </c>
      <c r="B131">
        <v>0.5</v>
      </c>
      <c r="C131" s="2">
        <v>2705.2913669999998</v>
      </c>
    </row>
    <row r="132" spans="1:3" x14ac:dyDescent="0.2">
      <c r="A132">
        <v>23</v>
      </c>
      <c r="B132">
        <v>0</v>
      </c>
      <c r="C132" s="2">
        <v>2228.7745089999999</v>
      </c>
    </row>
    <row r="133" spans="1:3" x14ac:dyDescent="0.2">
      <c r="A133">
        <v>23</v>
      </c>
      <c r="B133">
        <v>0</v>
      </c>
      <c r="C133" s="2">
        <v>1300.58663</v>
      </c>
    </row>
    <row r="134" spans="1:3" x14ac:dyDescent="0.2">
      <c r="A134">
        <v>23</v>
      </c>
      <c r="B134">
        <v>27.8</v>
      </c>
      <c r="C134" s="2">
        <v>1394.232305</v>
      </c>
    </row>
    <row r="135" spans="1:3" x14ac:dyDescent="0.2">
      <c r="A135">
        <v>23</v>
      </c>
      <c r="B135">
        <v>0.1</v>
      </c>
      <c r="C135" s="2">
        <v>1072.6868059999999</v>
      </c>
    </row>
    <row r="136" spans="1:3" x14ac:dyDescent="0.2">
      <c r="A136">
        <v>24</v>
      </c>
      <c r="B136">
        <v>6.4</v>
      </c>
      <c r="C136" s="2">
        <v>4855.2188059999999</v>
      </c>
    </row>
    <row r="137" spans="1:3" x14ac:dyDescent="0.2">
      <c r="A137">
        <v>24</v>
      </c>
      <c r="B137">
        <v>1</v>
      </c>
      <c r="C137" s="2">
        <v>1389.3977110000001</v>
      </c>
    </row>
    <row r="138" spans="1:3" x14ac:dyDescent="0.2">
      <c r="A138">
        <v>24</v>
      </c>
      <c r="B138">
        <v>0</v>
      </c>
      <c r="C138" s="2">
        <v>2635.3696279999999</v>
      </c>
    </row>
    <row r="139" spans="1:3" x14ac:dyDescent="0.2">
      <c r="A139">
        <v>24</v>
      </c>
      <c r="B139">
        <v>0</v>
      </c>
      <c r="C139" s="2">
        <v>3325.0898149999998</v>
      </c>
    </row>
    <row r="140" spans="1:3" x14ac:dyDescent="0.2">
      <c r="A140">
        <v>24</v>
      </c>
      <c r="B140">
        <v>7.5</v>
      </c>
      <c r="C140" s="2">
        <v>1075.3726879999999</v>
      </c>
    </row>
    <row r="141" spans="1:3" x14ac:dyDescent="0.2">
      <c r="A141">
        <v>24</v>
      </c>
      <c r="B141">
        <v>1.8</v>
      </c>
      <c r="C141" s="2">
        <v>623.71722260000001</v>
      </c>
    </row>
    <row r="142" spans="1:3" x14ac:dyDescent="0.2">
      <c r="A142">
        <v>25</v>
      </c>
      <c r="B142">
        <v>9.6999999999999993</v>
      </c>
      <c r="C142" s="2">
        <v>2934.979902</v>
      </c>
    </row>
    <row r="143" spans="1:3" x14ac:dyDescent="0.2">
      <c r="A143">
        <v>25</v>
      </c>
      <c r="B143">
        <v>0.1</v>
      </c>
      <c r="C143" s="2">
        <v>3664.7751090000002</v>
      </c>
    </row>
    <row r="144" spans="1:3" x14ac:dyDescent="0.2">
      <c r="A144">
        <v>25</v>
      </c>
      <c r="B144">
        <v>0</v>
      </c>
      <c r="C144" s="2">
        <v>2575.7975310000002</v>
      </c>
    </row>
    <row r="145" spans="1:3" x14ac:dyDescent="0.2">
      <c r="A145">
        <v>25</v>
      </c>
      <c r="B145">
        <v>0</v>
      </c>
      <c r="C145" s="2">
        <v>2410.2728280000001</v>
      </c>
    </row>
    <row r="146" spans="1:3" x14ac:dyDescent="0.2">
      <c r="A146">
        <v>25</v>
      </c>
      <c r="B146">
        <v>18.2</v>
      </c>
      <c r="C146" s="2">
        <v>2632.0689320000001</v>
      </c>
    </row>
    <row r="147" spans="1:3" x14ac:dyDescent="0.2">
      <c r="A147">
        <v>25</v>
      </c>
      <c r="B147">
        <v>0.7</v>
      </c>
      <c r="C147" s="2">
        <v>1133.34995</v>
      </c>
    </row>
    <row r="148" spans="1:3" x14ac:dyDescent="0.2">
      <c r="A148">
        <v>26</v>
      </c>
      <c r="B148">
        <v>0.9</v>
      </c>
      <c r="C148" s="2">
        <v>3098.3561030000001</v>
      </c>
    </row>
    <row r="149" spans="1:3" x14ac:dyDescent="0.2">
      <c r="A149">
        <v>26</v>
      </c>
      <c r="B149">
        <v>0</v>
      </c>
      <c r="C149" s="2">
        <v>2159.910578</v>
      </c>
    </row>
    <row r="150" spans="1:3" x14ac:dyDescent="0.2">
      <c r="A150">
        <v>26</v>
      </c>
      <c r="B150">
        <v>0</v>
      </c>
      <c r="C150" s="2">
        <v>3469.8551590000002</v>
      </c>
    </row>
    <row r="151" spans="1:3" x14ac:dyDescent="0.2">
      <c r="A151">
        <v>26</v>
      </c>
      <c r="B151">
        <v>23.7</v>
      </c>
      <c r="C151" s="2">
        <v>3067.8449839999998</v>
      </c>
    </row>
    <row r="152" spans="1:3" x14ac:dyDescent="0.2">
      <c r="A152">
        <v>26</v>
      </c>
      <c r="B152">
        <v>1.5</v>
      </c>
      <c r="C152" s="2">
        <v>4136.9817659999999</v>
      </c>
    </row>
    <row r="153" spans="1:3" x14ac:dyDescent="0.2">
      <c r="A153">
        <v>26</v>
      </c>
      <c r="B153">
        <v>0.2</v>
      </c>
      <c r="C153" s="2">
        <v>3369.1010759999999</v>
      </c>
    </row>
    <row r="154" spans="1:3" x14ac:dyDescent="0.2">
      <c r="A154">
        <v>27</v>
      </c>
      <c r="B154">
        <v>0.6</v>
      </c>
      <c r="C154" s="2">
        <v>3534.8210119999999</v>
      </c>
    </row>
    <row r="155" spans="1:3" x14ac:dyDescent="0.2">
      <c r="A155">
        <v>27</v>
      </c>
      <c r="B155">
        <v>0</v>
      </c>
      <c r="C155" s="2">
        <v>5622.2053830000004</v>
      </c>
    </row>
    <row r="156" spans="1:3" x14ac:dyDescent="0.2">
      <c r="A156">
        <v>27</v>
      </c>
      <c r="B156">
        <v>0</v>
      </c>
      <c r="C156" s="2">
        <v>6475.7770689999998</v>
      </c>
    </row>
    <row r="157" spans="1:3" x14ac:dyDescent="0.2">
      <c r="A157">
        <v>27</v>
      </c>
      <c r="B157">
        <v>8</v>
      </c>
      <c r="C157" s="2">
        <v>3890.3716180000001</v>
      </c>
    </row>
    <row r="158" spans="1:3" x14ac:dyDescent="0.2">
      <c r="A158">
        <v>27</v>
      </c>
      <c r="B158">
        <v>0.3</v>
      </c>
      <c r="C158" s="2">
        <v>2033.090271</v>
      </c>
    </row>
    <row r="159" spans="1:3" x14ac:dyDescent="0.2">
      <c r="A159">
        <v>27</v>
      </c>
      <c r="B159">
        <v>1.1000000000000001</v>
      </c>
      <c r="C159" s="2">
        <v>3826.601897</v>
      </c>
    </row>
    <row r="160" spans="1:3" x14ac:dyDescent="0.2">
      <c r="A160">
        <v>28</v>
      </c>
      <c r="B160">
        <v>0</v>
      </c>
      <c r="C160" s="2">
        <v>765.23933890000001</v>
      </c>
    </row>
    <row r="161" spans="1:3" x14ac:dyDescent="0.2">
      <c r="A161">
        <v>28</v>
      </c>
      <c r="B161">
        <v>11.3</v>
      </c>
      <c r="C161" s="2">
        <v>2813.0800989999998</v>
      </c>
    </row>
    <row r="162" spans="1:3" x14ac:dyDescent="0.2">
      <c r="A162">
        <v>28</v>
      </c>
      <c r="B162">
        <v>1</v>
      </c>
      <c r="C162" s="2">
        <v>2113.0226290000001</v>
      </c>
    </row>
    <row r="163" spans="1:3" x14ac:dyDescent="0.2">
      <c r="A163">
        <v>28</v>
      </c>
      <c r="B163">
        <v>1.6</v>
      </c>
      <c r="C163" s="2">
        <v>3854.8773390000001</v>
      </c>
    </row>
    <row r="164" spans="1:3" x14ac:dyDescent="0.2">
      <c r="A164">
        <v>28</v>
      </c>
      <c r="B164">
        <v>0</v>
      </c>
      <c r="C164" s="2">
        <v>2155.1472359999998</v>
      </c>
    </row>
    <row r="165" spans="1:3" x14ac:dyDescent="0.2">
      <c r="A165">
        <v>28</v>
      </c>
      <c r="B165">
        <v>0</v>
      </c>
      <c r="C165" s="2">
        <v>666.79114960000004</v>
      </c>
    </row>
    <row r="166" spans="1:3" x14ac:dyDescent="0.2">
      <c r="A166">
        <v>29</v>
      </c>
      <c r="B166">
        <v>12.9</v>
      </c>
      <c r="C166" s="2">
        <v>3322.031876</v>
      </c>
    </row>
    <row r="167" spans="1:3" x14ac:dyDescent="0.2">
      <c r="A167">
        <v>29</v>
      </c>
      <c r="B167">
        <v>4.3</v>
      </c>
      <c r="C167" s="2">
        <v>1551.995169</v>
      </c>
    </row>
    <row r="168" spans="1:3" x14ac:dyDescent="0.2">
      <c r="A168">
        <v>29</v>
      </c>
      <c r="B168">
        <v>1.8</v>
      </c>
      <c r="C168" s="2">
        <v>4182.9779920000001</v>
      </c>
    </row>
    <row r="169" spans="1:3" x14ac:dyDescent="0.2">
      <c r="A169">
        <v>29</v>
      </c>
      <c r="B169">
        <v>0</v>
      </c>
      <c r="C169" s="2">
        <v>1023.15997</v>
      </c>
    </row>
    <row r="170" spans="1:3" x14ac:dyDescent="0.2">
      <c r="A170">
        <v>29</v>
      </c>
      <c r="B170">
        <v>0</v>
      </c>
      <c r="C170" s="2">
        <v>1625.3555289999999</v>
      </c>
    </row>
    <row r="171" spans="1:3" x14ac:dyDescent="0.2">
      <c r="A171">
        <v>30</v>
      </c>
      <c r="B171">
        <v>12.8</v>
      </c>
      <c r="C171" s="2">
        <v>2064.455207</v>
      </c>
    </row>
    <row r="172" spans="1:3" x14ac:dyDescent="0.2">
      <c r="A172">
        <v>30</v>
      </c>
      <c r="B172">
        <v>0.3</v>
      </c>
      <c r="C172" s="2">
        <v>2531.8579960000002</v>
      </c>
    </row>
    <row r="173" spans="1:3" x14ac:dyDescent="0.2">
      <c r="A173">
        <v>30</v>
      </c>
      <c r="B173">
        <v>0</v>
      </c>
      <c r="C173" s="2">
        <v>1728.9063699999999</v>
      </c>
    </row>
    <row r="174" spans="1:3" x14ac:dyDescent="0.2">
      <c r="A174">
        <v>30</v>
      </c>
      <c r="B174">
        <v>0.1</v>
      </c>
      <c r="C174" s="2">
        <v>733.40200749999997</v>
      </c>
    </row>
    <row r="175" spans="1:3" x14ac:dyDescent="0.2">
      <c r="A175">
        <v>30</v>
      </c>
      <c r="B175">
        <v>0</v>
      </c>
      <c r="C175" s="2">
        <v>1728.118624</v>
      </c>
    </row>
    <row r="176" spans="1:3" x14ac:dyDescent="0.2">
      <c r="A176">
        <v>30</v>
      </c>
      <c r="B176">
        <v>0</v>
      </c>
      <c r="C176" s="2">
        <v>2638.3481870000001</v>
      </c>
    </row>
    <row r="177" spans="1:3" x14ac:dyDescent="0.2">
      <c r="A177">
        <v>31</v>
      </c>
      <c r="B177">
        <v>10.7</v>
      </c>
      <c r="C177" s="2">
        <v>3684.2246850000001</v>
      </c>
    </row>
    <row r="178" spans="1:3" x14ac:dyDescent="0.2">
      <c r="A178">
        <v>31</v>
      </c>
      <c r="B178">
        <v>1.7</v>
      </c>
      <c r="C178" s="2">
        <v>2585.2635150000001</v>
      </c>
    </row>
    <row r="179" spans="1:3" x14ac:dyDescent="0.2">
      <c r="A179">
        <v>31</v>
      </c>
      <c r="B179">
        <v>1.8</v>
      </c>
      <c r="C179" s="2">
        <v>3449.186209</v>
      </c>
    </row>
    <row r="180" spans="1:3" x14ac:dyDescent="0.2">
      <c r="A180">
        <v>31</v>
      </c>
      <c r="B180">
        <v>0</v>
      </c>
      <c r="C180" s="2">
        <v>4752.7644179999998</v>
      </c>
    </row>
    <row r="181" spans="1:3" x14ac:dyDescent="0.2">
      <c r="A181">
        <v>31</v>
      </c>
      <c r="B181">
        <v>0</v>
      </c>
      <c r="C181" s="2">
        <v>3743.3162139999999</v>
      </c>
    </row>
    <row r="182" spans="1:3" x14ac:dyDescent="0.2">
      <c r="A182">
        <v>32</v>
      </c>
      <c r="B182">
        <v>0</v>
      </c>
      <c r="C182" s="2">
        <v>2246.750125</v>
      </c>
    </row>
    <row r="183" spans="1:3" x14ac:dyDescent="0.2">
      <c r="A183">
        <v>32</v>
      </c>
      <c r="B183">
        <v>5.0999999999999996</v>
      </c>
      <c r="C183" s="2">
        <v>2226.938388</v>
      </c>
    </row>
    <row r="184" spans="1:3" x14ac:dyDescent="0.2">
      <c r="A184">
        <v>32</v>
      </c>
      <c r="B184">
        <v>0.4</v>
      </c>
      <c r="C184" s="2">
        <v>1149.4625880000001</v>
      </c>
    </row>
    <row r="185" spans="1:3" x14ac:dyDescent="0.2">
      <c r="A185">
        <v>32</v>
      </c>
      <c r="B185">
        <v>0.1</v>
      </c>
      <c r="C185" s="2">
        <v>2519.8286370000001</v>
      </c>
    </row>
    <row r="186" spans="1:3" x14ac:dyDescent="0.2">
      <c r="A186">
        <v>32</v>
      </c>
      <c r="B186">
        <v>0</v>
      </c>
      <c r="C186" s="2">
        <v>1872.075591</v>
      </c>
    </row>
    <row r="187" spans="1:3" x14ac:dyDescent="0.2">
      <c r="A187">
        <v>32</v>
      </c>
      <c r="B187">
        <v>2.9</v>
      </c>
      <c r="C187" s="2">
        <v>1720.1060930000001</v>
      </c>
    </row>
    <row r="188" spans="1:3" x14ac:dyDescent="0.2">
      <c r="A188">
        <v>32</v>
      </c>
      <c r="B188">
        <v>12.2</v>
      </c>
      <c r="C188" s="2">
        <v>398.05953799999997</v>
      </c>
    </row>
    <row r="189" spans="1:3" x14ac:dyDescent="0.2">
      <c r="A189">
        <v>33</v>
      </c>
      <c r="B189">
        <v>4.3</v>
      </c>
      <c r="C189" s="2">
        <v>2803.9478600000002</v>
      </c>
    </row>
    <row r="190" spans="1:3" x14ac:dyDescent="0.2">
      <c r="A190">
        <v>33</v>
      </c>
      <c r="B190">
        <v>0.2</v>
      </c>
      <c r="C190" s="2">
        <v>4204.6060399999997</v>
      </c>
    </row>
    <row r="191" spans="1:3" x14ac:dyDescent="0.2">
      <c r="A191">
        <v>33</v>
      </c>
      <c r="B191">
        <v>0</v>
      </c>
      <c r="C191" s="2">
        <v>2592.5380989999999</v>
      </c>
    </row>
    <row r="192" spans="1:3" x14ac:dyDescent="0.2">
      <c r="A192">
        <v>33</v>
      </c>
      <c r="B192">
        <v>0.1</v>
      </c>
      <c r="C192" s="2">
        <v>2907.7533319999998</v>
      </c>
    </row>
    <row r="193" spans="1:3" x14ac:dyDescent="0.2">
      <c r="A193">
        <v>33</v>
      </c>
      <c r="B193">
        <v>0.7</v>
      </c>
      <c r="C193" s="2">
        <v>3570.2869099999998</v>
      </c>
    </row>
    <row r="194" spans="1:3" x14ac:dyDescent="0.2">
      <c r="A194">
        <v>33</v>
      </c>
      <c r="B194">
        <v>7.9</v>
      </c>
      <c r="C194" s="2">
        <v>1109.8373079999999</v>
      </c>
    </row>
    <row r="195" spans="1:3" x14ac:dyDescent="0.2">
      <c r="A195">
        <v>34</v>
      </c>
      <c r="B195">
        <v>5.0999999999999996</v>
      </c>
      <c r="C195" s="2">
        <v>1487.4605919999999</v>
      </c>
    </row>
    <row r="196" spans="1:3" x14ac:dyDescent="0.2">
      <c r="A196">
        <v>34</v>
      </c>
      <c r="B196">
        <v>0.1</v>
      </c>
      <c r="C196" s="2">
        <v>1205.8927040000001</v>
      </c>
    </row>
    <row r="197" spans="1:3" x14ac:dyDescent="0.2">
      <c r="A197">
        <v>34</v>
      </c>
      <c r="B197">
        <v>0.1</v>
      </c>
      <c r="C197" s="2">
        <v>1327.2789990000001</v>
      </c>
    </row>
    <row r="198" spans="1:3" x14ac:dyDescent="0.2">
      <c r="A198">
        <v>34</v>
      </c>
      <c r="B198">
        <v>0</v>
      </c>
      <c r="C198" s="2">
        <v>1466.657508</v>
      </c>
    </row>
    <row r="199" spans="1:3" x14ac:dyDescent="0.2">
      <c r="A199">
        <v>34</v>
      </c>
      <c r="B199">
        <v>1.1000000000000001</v>
      </c>
      <c r="C199" s="2">
        <v>1458.2848650000001</v>
      </c>
    </row>
    <row r="200" spans="1:3" x14ac:dyDescent="0.2">
      <c r="A200">
        <v>34</v>
      </c>
      <c r="B200">
        <v>8.6999999999999993</v>
      </c>
      <c r="C200" s="2">
        <v>780.7421564</v>
      </c>
    </row>
    <row r="201" spans="1:3" x14ac:dyDescent="0.2">
      <c r="A201">
        <v>35</v>
      </c>
      <c r="B201">
        <v>3.9</v>
      </c>
      <c r="C201" s="2">
        <v>3098.312136</v>
      </c>
    </row>
    <row r="202" spans="1:3" x14ac:dyDescent="0.2">
      <c r="A202">
        <v>35</v>
      </c>
      <c r="B202">
        <v>0.3</v>
      </c>
      <c r="C202" s="2">
        <v>4167.7723759999999</v>
      </c>
    </row>
    <row r="203" spans="1:3" x14ac:dyDescent="0.2">
      <c r="A203">
        <v>35</v>
      </c>
      <c r="B203">
        <v>0.2</v>
      </c>
      <c r="C203" s="2">
        <v>653.20625659999996</v>
      </c>
    </row>
    <row r="204" spans="1:3" x14ac:dyDescent="0.2">
      <c r="A204">
        <v>35</v>
      </c>
      <c r="B204">
        <v>0</v>
      </c>
      <c r="C204" s="2">
        <v>2398.307123</v>
      </c>
    </row>
    <row r="205" spans="1:3" x14ac:dyDescent="0.2">
      <c r="A205">
        <v>35</v>
      </c>
      <c r="B205">
        <v>0.6</v>
      </c>
      <c r="C205" s="2">
        <v>3943.071226</v>
      </c>
    </row>
    <row r="206" spans="1:3" x14ac:dyDescent="0.2">
      <c r="A206">
        <v>35</v>
      </c>
      <c r="B206">
        <v>4.5</v>
      </c>
      <c r="C206" s="2">
        <v>2597.3771149999998</v>
      </c>
    </row>
    <row r="207" spans="1:3" x14ac:dyDescent="0.2">
      <c r="A207">
        <v>36</v>
      </c>
      <c r="B207">
        <v>0.1</v>
      </c>
      <c r="C207" s="2">
        <v>1558.604711</v>
      </c>
    </row>
    <row r="208" spans="1:3" x14ac:dyDescent="0.2">
      <c r="A208">
        <v>36</v>
      </c>
      <c r="B208">
        <v>0</v>
      </c>
      <c r="C208" s="2">
        <v>2150.983956</v>
      </c>
    </row>
    <row r="209" spans="1:3" x14ac:dyDescent="0.2">
      <c r="A209">
        <v>36</v>
      </c>
      <c r="B209">
        <v>0</v>
      </c>
      <c r="C209" s="2">
        <v>1565.438259</v>
      </c>
    </row>
    <row r="210" spans="1:3" x14ac:dyDescent="0.2">
      <c r="A210">
        <v>36</v>
      </c>
      <c r="B210">
        <v>4.8</v>
      </c>
      <c r="C210" s="2">
        <v>1549.912129</v>
      </c>
    </row>
    <row r="211" spans="1:3" x14ac:dyDescent="0.2">
      <c r="A211">
        <v>36</v>
      </c>
      <c r="B211">
        <v>13.6</v>
      </c>
      <c r="C211" s="2">
        <v>2375.8484880000001</v>
      </c>
    </row>
    <row r="212" spans="1:3" x14ac:dyDescent="0.2">
      <c r="A212">
        <v>36</v>
      </c>
      <c r="B212">
        <v>14.3</v>
      </c>
      <c r="C212" s="2">
        <v>1686.9813300000001</v>
      </c>
    </row>
    <row r="213" spans="1:3" x14ac:dyDescent="0.2">
      <c r="A213">
        <v>37</v>
      </c>
      <c r="B213">
        <v>0</v>
      </c>
      <c r="C213" s="2">
        <v>901.90843600000005</v>
      </c>
    </row>
    <row r="214" spans="1:3" x14ac:dyDescent="0.2">
      <c r="A214">
        <v>37</v>
      </c>
      <c r="B214">
        <v>0</v>
      </c>
      <c r="C214" s="2">
        <v>1423.207465</v>
      </c>
    </row>
    <row r="215" spans="1:3" x14ac:dyDescent="0.2">
      <c r="A215">
        <v>37</v>
      </c>
      <c r="B215">
        <v>4.8</v>
      </c>
      <c r="C215" s="2">
        <v>886.65604580000002</v>
      </c>
    </row>
    <row r="216" spans="1:3" x14ac:dyDescent="0.2">
      <c r="A216">
        <v>37</v>
      </c>
      <c r="B216">
        <v>13.6</v>
      </c>
      <c r="C216" s="2">
        <v>1109.265382</v>
      </c>
    </row>
    <row r="217" spans="1:3" x14ac:dyDescent="0.2">
      <c r="A217">
        <v>37</v>
      </c>
      <c r="B217">
        <v>14.3</v>
      </c>
      <c r="C217" s="2">
        <v>803.46260830000006</v>
      </c>
    </row>
    <row r="218" spans="1:3" x14ac:dyDescent="0.2">
      <c r="A218">
        <v>37</v>
      </c>
      <c r="B218">
        <v>6.4</v>
      </c>
      <c r="C218" s="2">
        <v>823.01686749999999</v>
      </c>
    </row>
    <row r="219" spans="1:3" x14ac:dyDescent="0.2">
      <c r="A219">
        <v>38</v>
      </c>
      <c r="B219">
        <v>0</v>
      </c>
      <c r="C219" s="2">
        <v>3332.0971469999999</v>
      </c>
    </row>
    <row r="220" spans="1:3" x14ac:dyDescent="0.2">
      <c r="A220">
        <v>38</v>
      </c>
      <c r="B220">
        <v>0</v>
      </c>
      <c r="C220" s="2">
        <v>2372.1424350000002</v>
      </c>
    </row>
    <row r="221" spans="1:3" x14ac:dyDescent="0.2">
      <c r="A221">
        <v>38</v>
      </c>
      <c r="B221">
        <v>8.3000000000000007</v>
      </c>
      <c r="C221" s="2">
        <v>3107.374401</v>
      </c>
    </row>
    <row r="222" spans="1:3" x14ac:dyDescent="0.2">
      <c r="A222">
        <v>38</v>
      </c>
      <c r="B222">
        <v>0.2</v>
      </c>
      <c r="C222" s="2">
        <v>2572.6088209999998</v>
      </c>
    </row>
    <row r="223" spans="1:3" x14ac:dyDescent="0.2">
      <c r="A223">
        <v>38</v>
      </c>
      <c r="B223">
        <v>1.2</v>
      </c>
      <c r="C223" s="2">
        <v>478.82419570000002</v>
      </c>
    </row>
    <row r="224" spans="1:3" x14ac:dyDescent="0.2">
      <c r="A224">
        <v>39</v>
      </c>
      <c r="B224">
        <v>0</v>
      </c>
      <c r="C224" s="2">
        <v>2992.1692349999998</v>
      </c>
    </row>
    <row r="225" spans="1:3" x14ac:dyDescent="0.2">
      <c r="A225">
        <v>39</v>
      </c>
      <c r="B225">
        <v>0</v>
      </c>
      <c r="C225" s="2">
        <v>2535.4877150000002</v>
      </c>
    </row>
    <row r="226" spans="1:3" x14ac:dyDescent="0.2">
      <c r="A226">
        <v>39</v>
      </c>
      <c r="B226">
        <v>0.5</v>
      </c>
      <c r="C226" s="2">
        <v>3246.8532</v>
      </c>
    </row>
    <row r="227" spans="1:3" x14ac:dyDescent="0.2">
      <c r="A227">
        <v>39</v>
      </c>
      <c r="B227">
        <v>12.3</v>
      </c>
      <c r="C227" s="2">
        <v>3759.2115549999999</v>
      </c>
    </row>
    <row r="228" spans="1:3" x14ac:dyDescent="0.2">
      <c r="A228">
        <v>39</v>
      </c>
      <c r="B228">
        <v>13</v>
      </c>
      <c r="C228" s="2">
        <v>2228.8335269999998</v>
      </c>
    </row>
    <row r="229" spans="1:3" x14ac:dyDescent="0.2">
      <c r="A229">
        <v>39</v>
      </c>
      <c r="B229">
        <v>6</v>
      </c>
      <c r="C229" s="2">
        <v>2321.3691690000001</v>
      </c>
    </row>
    <row r="230" spans="1:3" x14ac:dyDescent="0.2">
      <c r="A230">
        <v>40</v>
      </c>
      <c r="B230">
        <v>0</v>
      </c>
      <c r="C230" s="2">
        <v>2070.2409389999998</v>
      </c>
    </row>
    <row r="231" spans="1:3" x14ac:dyDescent="0.2">
      <c r="A231">
        <v>40</v>
      </c>
      <c r="B231">
        <v>0</v>
      </c>
      <c r="C231" s="2">
        <v>1495.292074</v>
      </c>
    </row>
    <row r="232" spans="1:3" x14ac:dyDescent="0.2">
      <c r="A232">
        <v>40</v>
      </c>
      <c r="B232">
        <v>4.2</v>
      </c>
      <c r="C232" s="2">
        <v>1221.9358070000001</v>
      </c>
    </row>
    <row r="233" spans="1:3" x14ac:dyDescent="0.2">
      <c r="A233">
        <v>40</v>
      </c>
      <c r="B233">
        <v>0.1</v>
      </c>
      <c r="C233" s="2">
        <v>1583.270462</v>
      </c>
    </row>
    <row r="234" spans="1:3" x14ac:dyDescent="0.2">
      <c r="A234">
        <v>40</v>
      </c>
      <c r="B234">
        <v>1.8</v>
      </c>
      <c r="C234" s="2">
        <v>1311.113816</v>
      </c>
    </row>
    <row r="235" spans="1:3" x14ac:dyDescent="0.2">
      <c r="A235">
        <v>40</v>
      </c>
      <c r="B235">
        <v>8.8000000000000007</v>
      </c>
      <c r="C235" s="2">
        <v>2396.2826920000002</v>
      </c>
    </row>
    <row r="236" spans="1:3" x14ac:dyDescent="0.2">
      <c r="A236">
        <v>40</v>
      </c>
      <c r="B236">
        <v>8.1999999999999993</v>
      </c>
      <c r="C236" s="2">
        <v>398.64858070000002</v>
      </c>
    </row>
    <row r="237" spans="1:3" x14ac:dyDescent="0.2">
      <c r="A237">
        <v>41</v>
      </c>
      <c r="B237">
        <v>3.4</v>
      </c>
      <c r="C237" s="2">
        <v>1845.0228529999999</v>
      </c>
    </row>
    <row r="238" spans="1:3" x14ac:dyDescent="0.2">
      <c r="A238">
        <v>41</v>
      </c>
      <c r="B238">
        <v>3.4</v>
      </c>
      <c r="C238" s="2">
        <v>3077.5021419999998</v>
      </c>
    </row>
    <row r="239" spans="1:3" x14ac:dyDescent="0.2">
      <c r="A239">
        <v>41</v>
      </c>
      <c r="B239">
        <v>3.6</v>
      </c>
      <c r="C239" s="2">
        <v>1157.703593</v>
      </c>
    </row>
    <row r="240" spans="1:3" x14ac:dyDescent="0.2">
      <c r="A240">
        <v>41</v>
      </c>
      <c r="B240">
        <v>3.1</v>
      </c>
      <c r="C240" s="2">
        <v>1219.599416</v>
      </c>
    </row>
    <row r="241" spans="1:3" x14ac:dyDescent="0.2">
      <c r="A241">
        <v>41</v>
      </c>
      <c r="B241">
        <v>2.1</v>
      </c>
      <c r="C241" s="2">
        <v>2015.2678719999999</v>
      </c>
    </row>
    <row r="242" spans="1:3" x14ac:dyDescent="0.2">
      <c r="A242">
        <v>41</v>
      </c>
      <c r="B242">
        <v>2.1</v>
      </c>
      <c r="C242" s="2">
        <v>2264.5552600000001</v>
      </c>
    </row>
    <row r="243" spans="1:3" x14ac:dyDescent="0.2">
      <c r="A243">
        <v>42</v>
      </c>
      <c r="B243">
        <v>0.5</v>
      </c>
      <c r="C243" s="2">
        <v>4183.2538830000003</v>
      </c>
    </row>
    <row r="244" spans="1:3" x14ac:dyDescent="0.2">
      <c r="A244">
        <v>42</v>
      </c>
      <c r="B244">
        <v>2.6</v>
      </c>
      <c r="C244" s="2">
        <v>3502.032772</v>
      </c>
    </row>
    <row r="245" spans="1:3" x14ac:dyDescent="0.2">
      <c r="A245">
        <v>42</v>
      </c>
      <c r="B245">
        <v>6</v>
      </c>
      <c r="C245" s="2">
        <v>3021.2111920000002</v>
      </c>
    </row>
    <row r="246" spans="1:3" x14ac:dyDescent="0.2">
      <c r="A246">
        <v>42</v>
      </c>
      <c r="B246">
        <v>5.3</v>
      </c>
      <c r="C246" s="2">
        <v>2321.9020529999998</v>
      </c>
    </row>
    <row r="247" spans="1:3" x14ac:dyDescent="0.2">
      <c r="A247">
        <v>42</v>
      </c>
      <c r="B247">
        <v>0.9</v>
      </c>
      <c r="C247" s="2">
        <v>2963.4376689999999</v>
      </c>
    </row>
    <row r="248" spans="1:3" x14ac:dyDescent="0.2">
      <c r="A248">
        <v>42</v>
      </c>
      <c r="B248">
        <v>2.6</v>
      </c>
      <c r="C248" s="2">
        <v>3209.8774109999999</v>
      </c>
    </row>
    <row r="249" spans="1:3" x14ac:dyDescent="0.2">
      <c r="A249">
        <v>44</v>
      </c>
      <c r="B249">
        <v>12.3</v>
      </c>
      <c r="C249" s="2">
        <v>780.38488459999996</v>
      </c>
    </row>
    <row r="250" spans="1:3" x14ac:dyDescent="0.2">
      <c r="A250">
        <v>44</v>
      </c>
      <c r="B250">
        <v>13</v>
      </c>
      <c r="C250" s="2">
        <v>3279.9050550000002</v>
      </c>
    </row>
    <row r="251" spans="1:3" x14ac:dyDescent="0.2">
      <c r="A251">
        <v>44</v>
      </c>
      <c r="B251">
        <v>6</v>
      </c>
      <c r="C251" s="2">
        <v>1787.591592</v>
      </c>
    </row>
    <row r="252" spans="1:3" x14ac:dyDescent="0.2">
      <c r="A252">
        <v>44</v>
      </c>
      <c r="B252">
        <v>1.3</v>
      </c>
      <c r="C252" s="2">
        <v>2711.1176380000002</v>
      </c>
    </row>
    <row r="253" spans="1:3" x14ac:dyDescent="0.2">
      <c r="A253">
        <v>44</v>
      </c>
      <c r="B253">
        <v>1.5</v>
      </c>
      <c r="C253" s="2">
        <v>3049.6194460000002</v>
      </c>
    </row>
    <row r="254" spans="1:3" x14ac:dyDescent="0.2">
      <c r="A254">
        <v>45</v>
      </c>
      <c r="B254">
        <v>20.2</v>
      </c>
      <c r="C254" s="2">
        <v>1807.7731630000001</v>
      </c>
    </row>
    <row r="255" spans="1:3" x14ac:dyDescent="0.2">
      <c r="A255">
        <v>45</v>
      </c>
      <c r="B255">
        <v>0.2</v>
      </c>
      <c r="C255" s="2">
        <v>2829.3007170000001</v>
      </c>
    </row>
    <row r="256" spans="1:3" x14ac:dyDescent="0.2">
      <c r="A256">
        <v>45</v>
      </c>
      <c r="B256">
        <v>0</v>
      </c>
      <c r="C256" s="2">
        <v>1998.579287</v>
      </c>
    </row>
    <row r="257" spans="1:3" x14ac:dyDescent="0.2">
      <c r="A257">
        <v>45</v>
      </c>
      <c r="B257">
        <v>0</v>
      </c>
      <c r="C257" s="2">
        <v>1758.20499</v>
      </c>
    </row>
    <row r="258" spans="1:3" x14ac:dyDescent="0.2">
      <c r="A258">
        <v>45</v>
      </c>
      <c r="B258">
        <v>0</v>
      </c>
      <c r="C258" s="2">
        <v>2530.9106400000001</v>
      </c>
    </row>
    <row r="259" spans="1:3" x14ac:dyDescent="0.2">
      <c r="A259">
        <v>45</v>
      </c>
      <c r="B259">
        <v>0</v>
      </c>
      <c r="C259" s="2">
        <v>1398.1625610000001</v>
      </c>
    </row>
    <row r="260" spans="1:3" x14ac:dyDescent="0.2">
      <c r="A260">
        <v>46</v>
      </c>
      <c r="B260">
        <v>14.3</v>
      </c>
      <c r="C260" s="2">
        <v>4743.07683</v>
      </c>
    </row>
    <row r="261" spans="1:3" x14ac:dyDescent="0.2">
      <c r="A261">
        <v>46</v>
      </c>
      <c r="B261">
        <v>0.5</v>
      </c>
      <c r="C261" s="2">
        <v>7033.2458150000002</v>
      </c>
    </row>
    <row r="262" spans="1:3" x14ac:dyDescent="0.2">
      <c r="A262">
        <v>46</v>
      </c>
      <c r="B262">
        <v>0.1</v>
      </c>
      <c r="C262" s="2">
        <v>4606.8864210000002</v>
      </c>
    </row>
    <row r="263" spans="1:3" x14ac:dyDescent="0.2">
      <c r="A263">
        <v>46</v>
      </c>
      <c r="B263">
        <v>0</v>
      </c>
      <c r="C263" s="2">
        <v>5040.3144329999996</v>
      </c>
    </row>
    <row r="264" spans="1:3" x14ac:dyDescent="0.2">
      <c r="A264">
        <v>46</v>
      </c>
      <c r="B264">
        <v>0</v>
      </c>
      <c r="C264" s="2">
        <v>7010.8640249999999</v>
      </c>
    </row>
    <row r="265" spans="1:3" x14ac:dyDescent="0.2">
      <c r="A265">
        <v>46</v>
      </c>
      <c r="B265">
        <v>0</v>
      </c>
      <c r="C265" s="2">
        <v>5828.5175810000001</v>
      </c>
    </row>
    <row r="266" spans="1:3" x14ac:dyDescent="0.2">
      <c r="A266">
        <v>47</v>
      </c>
      <c r="B266">
        <v>0</v>
      </c>
      <c r="C266" s="2">
        <v>2776.8404139999998</v>
      </c>
    </row>
    <row r="267" spans="1:3" x14ac:dyDescent="0.2">
      <c r="A267">
        <v>47</v>
      </c>
      <c r="B267">
        <v>0</v>
      </c>
      <c r="C267" s="2">
        <v>462.94178349999999</v>
      </c>
    </row>
    <row r="268" spans="1:3" x14ac:dyDescent="0.2">
      <c r="A268">
        <v>47</v>
      </c>
      <c r="B268">
        <v>0</v>
      </c>
      <c r="C268" s="2">
        <v>5477.0082249999996</v>
      </c>
    </row>
    <row r="269" spans="1:3" x14ac:dyDescent="0.2">
      <c r="A269">
        <v>47</v>
      </c>
      <c r="B269">
        <v>0.6</v>
      </c>
      <c r="C269" s="2">
        <v>3584.821441</v>
      </c>
    </row>
    <row r="270" spans="1:3" x14ac:dyDescent="0.2">
      <c r="A270">
        <v>47</v>
      </c>
      <c r="B270">
        <v>1.3</v>
      </c>
      <c r="C270" s="2">
        <v>4183.6808179999998</v>
      </c>
    </row>
    <row r="271" spans="1:3" x14ac:dyDescent="0.2">
      <c r="A271">
        <v>47</v>
      </c>
      <c r="B271">
        <v>0</v>
      </c>
      <c r="C271" s="2">
        <v>5989.092678</v>
      </c>
    </row>
    <row r="272" spans="1:3" x14ac:dyDescent="0.2">
      <c r="A272">
        <v>48</v>
      </c>
      <c r="B272">
        <v>0</v>
      </c>
      <c r="C272" s="2">
        <v>6531.1302050000004</v>
      </c>
    </row>
    <row r="273" spans="1:3" x14ac:dyDescent="0.2">
      <c r="A273">
        <v>48</v>
      </c>
      <c r="B273">
        <v>1</v>
      </c>
      <c r="C273" s="2">
        <v>4151.8473350000004</v>
      </c>
    </row>
    <row r="274" spans="1:3" x14ac:dyDescent="0.2">
      <c r="A274">
        <v>48</v>
      </c>
      <c r="B274">
        <v>5.3</v>
      </c>
      <c r="C274" s="2">
        <v>2730.3606770000001</v>
      </c>
    </row>
    <row r="275" spans="1:3" x14ac:dyDescent="0.2">
      <c r="A275">
        <v>48</v>
      </c>
      <c r="B275">
        <v>0.1</v>
      </c>
      <c r="C275" s="2">
        <v>5246.845593</v>
      </c>
    </row>
    <row r="276" spans="1:3" x14ac:dyDescent="0.2">
      <c r="A276">
        <v>48</v>
      </c>
      <c r="B276">
        <v>2.1</v>
      </c>
      <c r="C276" s="2">
        <v>4460.5273379999999</v>
      </c>
    </row>
    <row r="277" spans="1:3" x14ac:dyDescent="0.2">
      <c r="A277">
        <v>48</v>
      </c>
      <c r="B277">
        <v>4.8</v>
      </c>
      <c r="C277" s="2">
        <v>4250.132732</v>
      </c>
    </row>
    <row r="278" spans="1:3" x14ac:dyDescent="0.2">
      <c r="A278">
        <v>49</v>
      </c>
      <c r="B278">
        <v>43.2</v>
      </c>
      <c r="C278" s="2">
        <v>1836.335257</v>
      </c>
    </row>
    <row r="279" spans="1:3" x14ac:dyDescent="0.2">
      <c r="A279">
        <v>49</v>
      </c>
      <c r="B279">
        <v>1.8</v>
      </c>
      <c r="C279" s="2">
        <v>3696.647958</v>
      </c>
    </row>
    <row r="280" spans="1:3" x14ac:dyDescent="0.2">
      <c r="A280">
        <v>49</v>
      </c>
      <c r="B280">
        <v>1.8</v>
      </c>
      <c r="C280" s="2">
        <v>8610.6936430000005</v>
      </c>
    </row>
    <row r="281" spans="1:3" x14ac:dyDescent="0.2">
      <c r="A281">
        <v>49</v>
      </c>
      <c r="B281">
        <v>0.2</v>
      </c>
      <c r="C281" s="2">
        <v>6097.0889299999999</v>
      </c>
    </row>
    <row r="282" spans="1:3" x14ac:dyDescent="0.2">
      <c r="A282">
        <v>49</v>
      </c>
      <c r="B282">
        <v>0</v>
      </c>
      <c r="C282" s="2">
        <v>436.40179060000003</v>
      </c>
    </row>
    <row r="283" spans="1:3" x14ac:dyDescent="0.2">
      <c r="A283">
        <v>49</v>
      </c>
      <c r="B283">
        <v>0</v>
      </c>
      <c r="C283" s="2">
        <v>257.3532558</v>
      </c>
    </row>
    <row r="284" spans="1:3" x14ac:dyDescent="0.2">
      <c r="A284">
        <v>50</v>
      </c>
      <c r="B284">
        <v>1.4</v>
      </c>
      <c r="C284" s="2">
        <v>577.94651039999997</v>
      </c>
    </row>
    <row r="285" spans="1:3" x14ac:dyDescent="0.2">
      <c r="A285">
        <v>50</v>
      </c>
      <c r="B285">
        <v>6.1</v>
      </c>
      <c r="C285" s="2">
        <v>242.99225369999999</v>
      </c>
    </row>
    <row r="286" spans="1:3" x14ac:dyDescent="0.2">
      <c r="A286">
        <v>50</v>
      </c>
      <c r="B286">
        <v>0.7</v>
      </c>
      <c r="C286" s="2">
        <v>859.37954449999995</v>
      </c>
    </row>
    <row r="287" spans="1:3" x14ac:dyDescent="0.2">
      <c r="A287">
        <v>50</v>
      </c>
      <c r="B287">
        <v>0.4</v>
      </c>
      <c r="C287" s="2">
        <v>122.8218389</v>
      </c>
    </row>
    <row r="288" spans="1:3" x14ac:dyDescent="0.2">
      <c r="A288">
        <v>50</v>
      </c>
      <c r="B288">
        <v>1.9</v>
      </c>
      <c r="C288" s="2">
        <v>609.6438306</v>
      </c>
    </row>
    <row r="289" spans="1:3" x14ac:dyDescent="0.2">
      <c r="A289">
        <v>50</v>
      </c>
      <c r="B289">
        <v>6.1</v>
      </c>
      <c r="C289" s="2">
        <v>138.87399300000001</v>
      </c>
    </row>
    <row r="290" spans="1:3" x14ac:dyDescent="0.2">
      <c r="A290">
        <v>51</v>
      </c>
      <c r="B290">
        <v>7.4</v>
      </c>
      <c r="C290" s="2">
        <v>1065.8348080000001</v>
      </c>
    </row>
    <row r="291" spans="1:3" x14ac:dyDescent="0.2">
      <c r="A291">
        <v>51</v>
      </c>
      <c r="B291">
        <v>0.3</v>
      </c>
      <c r="C291" s="2">
        <v>1336.393356</v>
      </c>
    </row>
    <row r="292" spans="1:3" x14ac:dyDescent="0.2">
      <c r="A292">
        <v>51</v>
      </c>
      <c r="B292">
        <v>9</v>
      </c>
      <c r="C292" s="2">
        <v>1036.6004660000001</v>
      </c>
    </row>
    <row r="293" spans="1:3" x14ac:dyDescent="0.2">
      <c r="A293">
        <v>51</v>
      </c>
      <c r="B293">
        <v>6.1</v>
      </c>
      <c r="C293" s="2">
        <v>865.28149689999998</v>
      </c>
    </row>
    <row r="294" spans="1:3" x14ac:dyDescent="0.2">
      <c r="A294">
        <v>51</v>
      </c>
      <c r="B294">
        <v>8.4</v>
      </c>
      <c r="C294" s="2">
        <v>738.39202850000004</v>
      </c>
    </row>
    <row r="295" spans="1:3" x14ac:dyDescent="0.2">
      <c r="A295">
        <v>51</v>
      </c>
      <c r="B295">
        <v>32</v>
      </c>
      <c r="C295" s="2">
        <v>830.37209050000001</v>
      </c>
    </row>
    <row r="296" spans="1:3" x14ac:dyDescent="0.2">
      <c r="A296">
        <v>52</v>
      </c>
      <c r="B296">
        <v>7.4</v>
      </c>
      <c r="C296" s="2">
        <v>2679.1241260000002</v>
      </c>
    </row>
    <row r="297" spans="1:3" x14ac:dyDescent="0.2">
      <c r="A297">
        <v>52</v>
      </c>
      <c r="B297">
        <v>0.3</v>
      </c>
      <c r="C297" s="2">
        <v>2253.755126</v>
      </c>
    </row>
    <row r="298" spans="1:3" x14ac:dyDescent="0.2">
      <c r="A298">
        <v>52</v>
      </c>
      <c r="B298">
        <v>9</v>
      </c>
      <c r="C298" s="2">
        <v>1344.119205</v>
      </c>
    </row>
    <row r="299" spans="1:3" x14ac:dyDescent="0.2">
      <c r="A299">
        <v>52</v>
      </c>
      <c r="B299">
        <v>6.1</v>
      </c>
      <c r="C299" s="2">
        <v>1294.260004</v>
      </c>
    </row>
    <row r="300" spans="1:3" x14ac:dyDescent="0.2">
      <c r="A300">
        <v>52</v>
      </c>
      <c r="B300">
        <v>8.4</v>
      </c>
      <c r="C300" s="2">
        <v>282.08849709999998</v>
      </c>
    </row>
    <row r="301" spans="1:3" x14ac:dyDescent="0.2">
      <c r="A301">
        <v>52</v>
      </c>
      <c r="B301">
        <v>32</v>
      </c>
      <c r="C301" s="2">
        <v>1383.2232650000001</v>
      </c>
    </row>
    <row r="302" spans="1:3" x14ac:dyDescent="0.2">
      <c r="A302">
        <v>53</v>
      </c>
      <c r="B302">
        <v>0.3</v>
      </c>
      <c r="C302" s="2">
        <v>3229.8544889999998</v>
      </c>
    </row>
    <row r="303" spans="1:3" x14ac:dyDescent="0.2">
      <c r="A303">
        <v>53</v>
      </c>
      <c r="B303">
        <v>3.8</v>
      </c>
      <c r="C303" s="2">
        <v>3133.3927010000002</v>
      </c>
    </row>
    <row r="304" spans="1:3" x14ac:dyDescent="0.2">
      <c r="A304">
        <v>53</v>
      </c>
      <c r="B304">
        <v>11.9</v>
      </c>
      <c r="C304" s="2">
        <v>3872.1542909999998</v>
      </c>
    </row>
    <row r="305" spans="1:3" x14ac:dyDescent="0.2">
      <c r="A305">
        <v>53</v>
      </c>
      <c r="B305">
        <v>11.1</v>
      </c>
      <c r="C305" s="2">
        <v>3060.6866530000002</v>
      </c>
    </row>
    <row r="306" spans="1:3" x14ac:dyDescent="0.2">
      <c r="A306">
        <v>53</v>
      </c>
      <c r="B306">
        <v>5.5</v>
      </c>
      <c r="C306" s="2">
        <v>2977.255212</v>
      </c>
    </row>
    <row r="307" spans="1:3" x14ac:dyDescent="0.2">
      <c r="A307">
        <v>53</v>
      </c>
      <c r="B307">
        <v>6.7</v>
      </c>
      <c r="C307" s="2">
        <v>2610.4169040000002</v>
      </c>
    </row>
    <row r="308" spans="1:3" x14ac:dyDescent="0.2">
      <c r="A308">
        <v>54</v>
      </c>
      <c r="B308">
        <v>0.3</v>
      </c>
      <c r="C308" s="2">
        <v>2712.427385</v>
      </c>
    </row>
    <row r="309" spans="1:3" x14ac:dyDescent="0.2">
      <c r="A309">
        <v>54</v>
      </c>
      <c r="B309">
        <v>3.8</v>
      </c>
      <c r="C309" s="2">
        <v>1761.5349450000001</v>
      </c>
    </row>
    <row r="310" spans="1:3" x14ac:dyDescent="0.2">
      <c r="A310">
        <v>54</v>
      </c>
      <c r="B310">
        <v>11.9</v>
      </c>
      <c r="C310" s="2">
        <v>1558.9076540000001</v>
      </c>
    </row>
    <row r="311" spans="1:3" x14ac:dyDescent="0.2">
      <c r="A311">
        <v>54</v>
      </c>
      <c r="B311">
        <v>11.1</v>
      </c>
      <c r="C311" s="2">
        <v>1635.920719</v>
      </c>
    </row>
    <row r="312" spans="1:3" x14ac:dyDescent="0.2">
      <c r="A312">
        <v>54</v>
      </c>
      <c r="B312">
        <v>5.5</v>
      </c>
      <c r="C312" s="2">
        <v>1368.7762359999999</v>
      </c>
    </row>
    <row r="313" spans="1:3" x14ac:dyDescent="0.2">
      <c r="A313">
        <v>54</v>
      </c>
      <c r="B313">
        <v>6.7</v>
      </c>
      <c r="C313" s="2">
        <v>2032.815241</v>
      </c>
    </row>
    <row r="314" spans="1:3" x14ac:dyDescent="0.2">
      <c r="A314">
        <v>55</v>
      </c>
      <c r="B314">
        <v>0.3</v>
      </c>
      <c r="C314" s="2">
        <v>2164.048781</v>
      </c>
    </row>
    <row r="315" spans="1:3" x14ac:dyDescent="0.2">
      <c r="A315">
        <v>55</v>
      </c>
      <c r="B315">
        <v>3.8</v>
      </c>
      <c r="C315" s="2">
        <v>1389.8801430000001</v>
      </c>
    </row>
    <row r="316" spans="1:3" x14ac:dyDescent="0.2">
      <c r="A316">
        <v>55</v>
      </c>
      <c r="B316">
        <v>11.9</v>
      </c>
      <c r="C316" s="2">
        <v>1583.2771419999999</v>
      </c>
    </row>
    <row r="317" spans="1:3" x14ac:dyDescent="0.2">
      <c r="A317">
        <v>55</v>
      </c>
      <c r="B317">
        <v>11.1</v>
      </c>
      <c r="C317" s="2">
        <v>1914.598976</v>
      </c>
    </row>
    <row r="318" spans="1:3" x14ac:dyDescent="0.2">
      <c r="A318">
        <v>55</v>
      </c>
      <c r="B318">
        <v>5.5</v>
      </c>
      <c r="C318" s="2">
        <v>1165.564357</v>
      </c>
    </row>
    <row r="319" spans="1:3" x14ac:dyDescent="0.2">
      <c r="A319">
        <v>55</v>
      </c>
      <c r="B319">
        <v>6.7</v>
      </c>
      <c r="C319" s="2">
        <v>1030.8580919999999</v>
      </c>
    </row>
    <row r="320" spans="1:3" x14ac:dyDescent="0.2">
      <c r="A320">
        <v>56</v>
      </c>
      <c r="B320">
        <v>1.9</v>
      </c>
      <c r="C320" s="2">
        <v>5883.9771559999999</v>
      </c>
    </row>
    <row r="321" spans="1:3" x14ac:dyDescent="0.2">
      <c r="A321">
        <v>56</v>
      </c>
      <c r="B321">
        <v>4.8</v>
      </c>
      <c r="C321" s="2">
        <v>5634.3254290000004</v>
      </c>
    </row>
    <row r="322" spans="1:3" x14ac:dyDescent="0.2">
      <c r="A322">
        <v>56</v>
      </c>
      <c r="B322">
        <v>7.4</v>
      </c>
      <c r="C322" s="2">
        <v>3276.57924</v>
      </c>
    </row>
    <row r="323" spans="1:3" x14ac:dyDescent="0.2">
      <c r="A323">
        <v>56</v>
      </c>
      <c r="B323">
        <v>10.8</v>
      </c>
      <c r="C323" s="2">
        <v>3729.6856710000002</v>
      </c>
    </row>
    <row r="324" spans="1:3" x14ac:dyDescent="0.2">
      <c r="A324">
        <v>56</v>
      </c>
      <c r="B324">
        <v>16</v>
      </c>
      <c r="C324" s="2">
        <v>4332.1291590000001</v>
      </c>
    </row>
    <row r="325" spans="1:3" x14ac:dyDescent="0.2">
      <c r="A325">
        <v>57</v>
      </c>
      <c r="B325">
        <v>1.9</v>
      </c>
      <c r="C325" s="2">
        <v>4980.4933460000002</v>
      </c>
    </row>
    <row r="326" spans="1:3" x14ac:dyDescent="0.2">
      <c r="A326">
        <v>57</v>
      </c>
      <c r="B326">
        <v>4.8</v>
      </c>
      <c r="C326" s="2">
        <v>6399.2832440000002</v>
      </c>
    </row>
    <row r="327" spans="1:3" x14ac:dyDescent="0.2">
      <c r="A327">
        <v>57</v>
      </c>
      <c r="B327">
        <v>7.4</v>
      </c>
      <c r="C327" s="2">
        <v>3080.403937</v>
      </c>
    </row>
    <row r="328" spans="1:3" x14ac:dyDescent="0.2">
      <c r="A328">
        <v>58</v>
      </c>
      <c r="B328">
        <v>3.5</v>
      </c>
      <c r="C328" s="2">
        <v>2340.7774610000001</v>
      </c>
    </row>
    <row r="329" spans="1:3" x14ac:dyDescent="0.2">
      <c r="A329">
        <v>58</v>
      </c>
      <c r="B329">
        <v>2.5</v>
      </c>
      <c r="C329" s="2">
        <v>1953.495928</v>
      </c>
    </row>
    <row r="330" spans="1:3" x14ac:dyDescent="0.2">
      <c r="A330">
        <v>58</v>
      </c>
      <c r="B330">
        <v>2.7</v>
      </c>
      <c r="C330" s="2">
        <v>943.98407840000004</v>
      </c>
    </row>
    <row r="331" spans="1:3" x14ac:dyDescent="0.2">
      <c r="A331">
        <v>58</v>
      </c>
      <c r="B331">
        <v>13.6</v>
      </c>
      <c r="C331" s="2">
        <v>1435.3586869999999</v>
      </c>
    </row>
    <row r="332" spans="1:3" x14ac:dyDescent="0.2">
      <c r="A332">
        <v>58</v>
      </c>
      <c r="B332">
        <v>8.1</v>
      </c>
      <c r="C332" s="2">
        <v>1064.508619</v>
      </c>
    </row>
    <row r="333" spans="1:3" x14ac:dyDescent="0.2">
      <c r="A333">
        <v>58</v>
      </c>
      <c r="B333">
        <v>0</v>
      </c>
      <c r="C333" s="2">
        <v>1212.5141080000001</v>
      </c>
    </row>
    <row r="334" spans="1:3" x14ac:dyDescent="0.2">
      <c r="A334">
        <v>59</v>
      </c>
      <c r="B334">
        <v>0.3</v>
      </c>
      <c r="C334" s="2">
        <v>7454.831005</v>
      </c>
    </row>
    <row r="335" spans="1:3" x14ac:dyDescent="0.2">
      <c r="A335">
        <v>59</v>
      </c>
      <c r="B335">
        <v>6.4</v>
      </c>
      <c r="C335" s="2">
        <v>3692.5931019999998</v>
      </c>
    </row>
    <row r="336" spans="1:3" x14ac:dyDescent="0.2">
      <c r="A336">
        <v>59</v>
      </c>
      <c r="B336">
        <v>4.5</v>
      </c>
      <c r="C336" s="2">
        <v>6016.1995989999996</v>
      </c>
    </row>
    <row r="337" spans="1:3" x14ac:dyDescent="0.2">
      <c r="A337">
        <v>59</v>
      </c>
      <c r="B337">
        <v>0.8</v>
      </c>
      <c r="C337" s="2">
        <v>3778.6473769999998</v>
      </c>
    </row>
    <row r="338" spans="1:3" x14ac:dyDescent="0.2">
      <c r="A338">
        <v>59</v>
      </c>
      <c r="B338">
        <v>0.4</v>
      </c>
      <c r="C338" s="2">
        <v>4858.4018820000001</v>
      </c>
    </row>
    <row r="339" spans="1:3" x14ac:dyDescent="0.2">
      <c r="A339">
        <v>59</v>
      </c>
      <c r="B339">
        <v>0</v>
      </c>
      <c r="C339" s="2">
        <v>5563.2462009999999</v>
      </c>
    </row>
    <row r="340" spans="1:3" x14ac:dyDescent="0.2">
      <c r="A340">
        <v>60</v>
      </c>
      <c r="B340">
        <v>0.3</v>
      </c>
      <c r="C340" s="2">
        <v>4206.1512089999997</v>
      </c>
    </row>
    <row r="341" spans="1:3" x14ac:dyDescent="0.2">
      <c r="A341">
        <v>60</v>
      </c>
      <c r="B341">
        <v>6.4</v>
      </c>
      <c r="C341" s="2">
        <v>2324.5112410000002</v>
      </c>
    </row>
    <row r="342" spans="1:3" x14ac:dyDescent="0.2">
      <c r="A342">
        <v>60</v>
      </c>
      <c r="B342">
        <v>4.5</v>
      </c>
      <c r="C342" s="2">
        <v>3856.7326170000001</v>
      </c>
    </row>
    <row r="343" spans="1:3" x14ac:dyDescent="0.2">
      <c r="A343">
        <v>60</v>
      </c>
      <c r="B343">
        <v>0.8</v>
      </c>
      <c r="C343" s="2">
        <v>3483.215095</v>
      </c>
    </row>
    <row r="344" spans="1:3" x14ac:dyDescent="0.2">
      <c r="A344">
        <v>60</v>
      </c>
      <c r="B344">
        <v>0.4</v>
      </c>
      <c r="C344" s="2">
        <v>2700.9503679999998</v>
      </c>
    </row>
    <row r="345" spans="1:3" x14ac:dyDescent="0.2">
      <c r="A345">
        <v>60</v>
      </c>
      <c r="B345">
        <v>0</v>
      </c>
      <c r="C345" s="2">
        <v>2618.4667880000002</v>
      </c>
    </row>
    <row r="346" spans="1:3" x14ac:dyDescent="0.2">
      <c r="A346">
        <v>61</v>
      </c>
      <c r="B346">
        <v>6.6</v>
      </c>
      <c r="C346" s="2">
        <v>2096.1658210000001</v>
      </c>
    </row>
    <row r="347" spans="1:3" x14ac:dyDescent="0.2">
      <c r="A347">
        <v>61</v>
      </c>
      <c r="B347">
        <v>9.9</v>
      </c>
      <c r="C347" s="2">
        <v>1860.9996980000001</v>
      </c>
    </row>
    <row r="348" spans="1:3" x14ac:dyDescent="0.2">
      <c r="A348">
        <v>61</v>
      </c>
      <c r="B348">
        <v>20.5</v>
      </c>
      <c r="C348" s="2">
        <v>1606.300671</v>
      </c>
    </row>
    <row r="349" spans="1:3" x14ac:dyDescent="0.2">
      <c r="A349">
        <v>61</v>
      </c>
      <c r="B349">
        <v>2.2000000000000002</v>
      </c>
      <c r="C349" s="2">
        <v>3557.0397819999998</v>
      </c>
    </row>
    <row r="350" spans="1:3" x14ac:dyDescent="0.2">
      <c r="A350">
        <v>61</v>
      </c>
      <c r="B350">
        <v>0.7</v>
      </c>
      <c r="C350" s="2">
        <v>4481.7498310000001</v>
      </c>
    </row>
    <row r="351" spans="1:3" x14ac:dyDescent="0.2">
      <c r="A351">
        <v>61</v>
      </c>
      <c r="B351">
        <v>0</v>
      </c>
      <c r="C351" s="2">
        <v>4775.0794269999997</v>
      </c>
    </row>
    <row r="352" spans="1:3" x14ac:dyDescent="0.2">
      <c r="A352">
        <v>62</v>
      </c>
      <c r="B352">
        <v>11.1</v>
      </c>
      <c r="C352" s="2">
        <v>1223.1814879999999</v>
      </c>
    </row>
    <row r="353" spans="1:3" x14ac:dyDescent="0.2">
      <c r="A353">
        <v>62</v>
      </c>
      <c r="B353">
        <v>0</v>
      </c>
      <c r="C353" s="2">
        <v>1256.140819</v>
      </c>
    </row>
    <row r="354" spans="1:3" x14ac:dyDescent="0.2">
      <c r="A354">
        <v>62</v>
      </c>
      <c r="B354">
        <v>0</v>
      </c>
      <c r="C354" s="2">
        <v>1908.113024</v>
      </c>
    </row>
    <row r="355" spans="1:3" x14ac:dyDescent="0.2">
      <c r="A355">
        <v>62</v>
      </c>
      <c r="B355">
        <v>0.3</v>
      </c>
      <c r="C355" s="2">
        <v>2249.071054</v>
      </c>
    </row>
    <row r="356" spans="1:3" x14ac:dyDescent="0.2">
      <c r="A356">
        <v>62</v>
      </c>
      <c r="B356">
        <v>2.2000000000000002</v>
      </c>
      <c r="C356" s="2">
        <v>1921.3660689999999</v>
      </c>
    </row>
    <row r="357" spans="1:3" x14ac:dyDescent="0.2">
      <c r="A357">
        <v>62</v>
      </c>
      <c r="B357">
        <v>0.5</v>
      </c>
      <c r="C357" s="2">
        <v>1730.221667</v>
      </c>
    </row>
    <row r="358" spans="1:3" x14ac:dyDescent="0.2">
      <c r="A358">
        <v>63</v>
      </c>
      <c r="B358">
        <v>0</v>
      </c>
      <c r="C358" s="2">
        <v>1185.804343</v>
      </c>
    </row>
    <row r="359" spans="1:3" x14ac:dyDescent="0.2">
      <c r="A359">
        <v>63</v>
      </c>
      <c r="B359">
        <v>0</v>
      </c>
      <c r="C359" s="2">
        <v>2613.461699</v>
      </c>
    </row>
    <row r="360" spans="1:3" x14ac:dyDescent="0.2">
      <c r="A360">
        <v>63</v>
      </c>
      <c r="B360">
        <v>0.3</v>
      </c>
      <c r="C360" s="2">
        <v>799.19539880000002</v>
      </c>
    </row>
    <row r="361" spans="1:3" x14ac:dyDescent="0.2">
      <c r="A361">
        <v>63</v>
      </c>
      <c r="B361">
        <v>2.2000000000000002</v>
      </c>
      <c r="C361" s="2">
        <v>1103.5178470000001</v>
      </c>
    </row>
    <row r="362" spans="1:3" x14ac:dyDescent="0.2">
      <c r="A362">
        <v>63</v>
      </c>
      <c r="B362">
        <v>0.5</v>
      </c>
      <c r="C362" s="2">
        <v>1101.237873</v>
      </c>
    </row>
    <row r="363" spans="1:3" x14ac:dyDescent="0.2">
      <c r="A363">
        <v>63</v>
      </c>
      <c r="B363">
        <v>0</v>
      </c>
      <c r="C363" s="2">
        <v>935.30308749999995</v>
      </c>
    </row>
    <row r="364" spans="1:3" x14ac:dyDescent="0.2">
      <c r="A364">
        <v>64</v>
      </c>
      <c r="B364">
        <v>0</v>
      </c>
      <c r="C364" s="2">
        <v>2236.8504560000001</v>
      </c>
    </row>
    <row r="365" spans="1:3" x14ac:dyDescent="0.2">
      <c r="A365">
        <v>64</v>
      </c>
      <c r="B365">
        <v>0</v>
      </c>
      <c r="C365" s="2">
        <v>1635.6040390000001</v>
      </c>
    </row>
    <row r="366" spans="1:3" x14ac:dyDescent="0.2">
      <c r="A366">
        <v>64</v>
      </c>
      <c r="B366">
        <v>0.3</v>
      </c>
      <c r="C366" s="2">
        <v>2952.2677990000002</v>
      </c>
    </row>
    <row r="367" spans="1:3" x14ac:dyDescent="0.2">
      <c r="A367">
        <v>64</v>
      </c>
      <c r="B367">
        <v>2.2000000000000002</v>
      </c>
      <c r="C367" s="2">
        <v>3363.3601199999998</v>
      </c>
    </row>
    <row r="368" spans="1:3" x14ac:dyDescent="0.2">
      <c r="A368">
        <v>64</v>
      </c>
      <c r="B368">
        <v>0.5</v>
      </c>
      <c r="C368" s="2">
        <v>1660.458046</v>
      </c>
    </row>
    <row r="369" spans="1:3" x14ac:dyDescent="0.2">
      <c r="A369">
        <v>64</v>
      </c>
      <c r="B369">
        <v>0</v>
      </c>
      <c r="C369" s="2">
        <v>1476.3612900000001</v>
      </c>
    </row>
    <row r="370" spans="1:3" x14ac:dyDescent="0.2">
      <c r="A370">
        <v>65</v>
      </c>
      <c r="B370">
        <v>0</v>
      </c>
      <c r="C370" s="2">
        <v>1312.2182170000001</v>
      </c>
    </row>
    <row r="371" spans="1:3" x14ac:dyDescent="0.2">
      <c r="A371">
        <v>65</v>
      </c>
      <c r="B371">
        <v>0</v>
      </c>
      <c r="C371" s="2">
        <v>655.19910630000004</v>
      </c>
    </row>
    <row r="372" spans="1:3" x14ac:dyDescent="0.2">
      <c r="A372">
        <v>65</v>
      </c>
      <c r="B372">
        <v>1.1000000000000001</v>
      </c>
      <c r="C372" s="2">
        <v>990.64196330000004</v>
      </c>
    </row>
    <row r="373" spans="1:3" x14ac:dyDescent="0.2">
      <c r="A373">
        <v>65</v>
      </c>
      <c r="B373">
        <v>0.5</v>
      </c>
      <c r="C373" s="2">
        <v>1130.72912</v>
      </c>
    </row>
    <row r="374" spans="1:3" x14ac:dyDescent="0.2">
      <c r="A374">
        <v>65</v>
      </c>
      <c r="B374">
        <v>0</v>
      </c>
      <c r="C374" s="2">
        <v>561.82357590000004</v>
      </c>
    </row>
    <row r="375" spans="1:3" x14ac:dyDescent="0.2">
      <c r="A375">
        <v>65</v>
      </c>
      <c r="B375">
        <v>0</v>
      </c>
      <c r="C375" s="2">
        <v>970.92484330000002</v>
      </c>
    </row>
    <row r="376" spans="1:3" x14ac:dyDescent="0.2">
      <c r="A376">
        <v>66</v>
      </c>
      <c r="B376">
        <v>0</v>
      </c>
      <c r="C376" s="2">
        <v>1595.246617</v>
      </c>
    </row>
    <row r="377" spans="1:3" x14ac:dyDescent="0.2">
      <c r="A377">
        <v>66</v>
      </c>
      <c r="B377">
        <v>0</v>
      </c>
      <c r="C377" s="2">
        <v>1306.7304839999999</v>
      </c>
    </row>
    <row r="378" spans="1:3" x14ac:dyDescent="0.2">
      <c r="A378">
        <v>66</v>
      </c>
      <c r="B378">
        <v>1.1000000000000001</v>
      </c>
      <c r="C378" s="2">
        <v>1324.733414</v>
      </c>
    </row>
    <row r="379" spans="1:3" x14ac:dyDescent="0.2">
      <c r="A379">
        <v>66</v>
      </c>
      <c r="B379">
        <v>0.5</v>
      </c>
      <c r="C379" s="2">
        <v>931.38225290000003</v>
      </c>
    </row>
    <row r="380" spans="1:3" x14ac:dyDescent="0.2">
      <c r="A380">
        <v>66</v>
      </c>
      <c r="B380">
        <v>0</v>
      </c>
      <c r="C380" s="2">
        <v>1160.901413</v>
      </c>
    </row>
    <row r="381" spans="1:3" x14ac:dyDescent="0.2">
      <c r="A381">
        <v>66</v>
      </c>
      <c r="B381">
        <v>0</v>
      </c>
      <c r="C381" s="2">
        <v>1024.4859140000001</v>
      </c>
    </row>
    <row r="382" spans="1:3" x14ac:dyDescent="0.2">
      <c r="A382">
        <v>67</v>
      </c>
      <c r="B382">
        <v>0</v>
      </c>
      <c r="C382" s="2">
        <v>1015.844556</v>
      </c>
    </row>
    <row r="383" spans="1:3" x14ac:dyDescent="0.2">
      <c r="A383">
        <v>67</v>
      </c>
      <c r="B383">
        <v>0</v>
      </c>
      <c r="C383" s="2">
        <v>1332.3075590000001</v>
      </c>
    </row>
    <row r="384" spans="1:3" x14ac:dyDescent="0.2">
      <c r="A384">
        <v>67</v>
      </c>
      <c r="B384">
        <v>1.1000000000000001</v>
      </c>
      <c r="C384" s="2">
        <v>763.18718690000003</v>
      </c>
    </row>
    <row r="385" spans="1:3" x14ac:dyDescent="0.2">
      <c r="A385">
        <v>67</v>
      </c>
      <c r="B385">
        <v>0.5</v>
      </c>
      <c r="C385" s="2">
        <v>330.6331376</v>
      </c>
    </row>
    <row r="386" spans="1:3" x14ac:dyDescent="0.2">
      <c r="A386">
        <v>67</v>
      </c>
      <c r="B386">
        <v>0</v>
      </c>
      <c r="C386" s="2">
        <v>998.36370839999995</v>
      </c>
    </row>
    <row r="387" spans="1:3" x14ac:dyDescent="0.2">
      <c r="A387">
        <v>67</v>
      </c>
      <c r="B387">
        <v>0</v>
      </c>
      <c r="C387" s="2">
        <v>1305.492242</v>
      </c>
    </row>
    <row r="388" spans="1:3" x14ac:dyDescent="0.2">
      <c r="A388">
        <v>68</v>
      </c>
      <c r="B388">
        <v>1.5</v>
      </c>
      <c r="C388" s="2">
        <v>1447.8992499999999</v>
      </c>
    </row>
    <row r="389" spans="1:3" x14ac:dyDescent="0.2">
      <c r="A389">
        <v>68</v>
      </c>
      <c r="B389">
        <v>1.7</v>
      </c>
      <c r="C389" s="2">
        <v>1628.6631400000001</v>
      </c>
    </row>
    <row r="390" spans="1:3" x14ac:dyDescent="0.2">
      <c r="A390">
        <v>68</v>
      </c>
      <c r="B390">
        <v>0.1</v>
      </c>
      <c r="C390" s="2">
        <v>922.92262670000002</v>
      </c>
    </row>
    <row r="391" spans="1:3" x14ac:dyDescent="0.2">
      <c r="A391">
        <v>68</v>
      </c>
      <c r="B391">
        <v>0.4</v>
      </c>
      <c r="C391" s="2">
        <v>997.30765510000003</v>
      </c>
    </row>
    <row r="392" spans="1:3" x14ac:dyDescent="0.2">
      <c r="A392">
        <v>68</v>
      </c>
      <c r="B392">
        <v>3.5</v>
      </c>
      <c r="C392" s="2">
        <v>488.0673486</v>
      </c>
    </row>
    <row r="393" spans="1:3" x14ac:dyDescent="0.2">
      <c r="A393">
        <v>69</v>
      </c>
      <c r="B393">
        <v>1.5</v>
      </c>
      <c r="C393" s="2">
        <v>1342.163268</v>
      </c>
    </row>
    <row r="394" spans="1:3" x14ac:dyDescent="0.2">
      <c r="A394">
        <v>69</v>
      </c>
      <c r="B394">
        <v>1.7</v>
      </c>
      <c r="C394" s="2">
        <v>1226.4099409999999</v>
      </c>
    </row>
    <row r="395" spans="1:3" x14ac:dyDescent="0.2">
      <c r="A395">
        <v>69</v>
      </c>
      <c r="B395">
        <v>0.1</v>
      </c>
      <c r="C395" s="2">
        <v>1400.538734</v>
      </c>
    </row>
    <row r="396" spans="1:3" x14ac:dyDescent="0.2">
      <c r="A396">
        <v>69</v>
      </c>
      <c r="B396">
        <v>0.4</v>
      </c>
      <c r="C396" s="2">
        <v>604.67643350000003</v>
      </c>
    </row>
    <row r="397" spans="1:3" x14ac:dyDescent="0.2">
      <c r="A397">
        <v>69</v>
      </c>
      <c r="B397">
        <v>3.5</v>
      </c>
      <c r="C397" s="2">
        <v>734.81827229999999</v>
      </c>
    </row>
    <row r="398" spans="1:3" x14ac:dyDescent="0.2">
      <c r="A398">
        <v>70</v>
      </c>
      <c r="B398">
        <v>1.6</v>
      </c>
      <c r="C398" s="2">
        <v>1462.891488</v>
      </c>
    </row>
    <row r="399" spans="1:3" x14ac:dyDescent="0.2">
      <c r="A399">
        <v>70</v>
      </c>
      <c r="B399">
        <v>3.5</v>
      </c>
      <c r="C399" s="2">
        <v>715.82851340000002</v>
      </c>
    </row>
    <row r="400" spans="1:3" x14ac:dyDescent="0.2">
      <c r="A400">
        <v>70</v>
      </c>
      <c r="B400">
        <v>0</v>
      </c>
      <c r="C400" s="2">
        <v>1284.9010370000001</v>
      </c>
    </row>
    <row r="401" spans="1:3" x14ac:dyDescent="0.2">
      <c r="A401">
        <v>70</v>
      </c>
      <c r="B401">
        <v>0</v>
      </c>
      <c r="C401" s="2">
        <v>531.89931469999999</v>
      </c>
    </row>
    <row r="402" spans="1:3" x14ac:dyDescent="0.2">
      <c r="A402">
        <v>70</v>
      </c>
      <c r="B402">
        <v>1.3</v>
      </c>
      <c r="C402" s="2">
        <v>654.26461659999995</v>
      </c>
    </row>
    <row r="403" spans="1:3" x14ac:dyDescent="0.2">
      <c r="A403">
        <v>70</v>
      </c>
      <c r="B403">
        <v>0</v>
      </c>
      <c r="C403" s="2">
        <v>1064.3258900000001</v>
      </c>
    </row>
    <row r="404" spans="1:3" x14ac:dyDescent="0.2">
      <c r="A404">
        <v>71</v>
      </c>
      <c r="B404">
        <v>2.8</v>
      </c>
      <c r="C404" s="2">
        <v>3054.350801</v>
      </c>
    </row>
    <row r="405" spans="1:3" x14ac:dyDescent="0.2">
      <c r="A405">
        <v>71</v>
      </c>
      <c r="B405">
        <v>0</v>
      </c>
      <c r="C405" s="2">
        <v>7422.3735319999996</v>
      </c>
    </row>
    <row r="406" spans="1:3" x14ac:dyDescent="0.2">
      <c r="A406">
        <v>71</v>
      </c>
      <c r="B406">
        <v>0.9</v>
      </c>
      <c r="C406" s="2">
        <v>5376.3193410000003</v>
      </c>
    </row>
    <row r="407" spans="1:3" x14ac:dyDescent="0.2">
      <c r="A407">
        <v>71</v>
      </c>
      <c r="B407">
        <v>1.4</v>
      </c>
      <c r="C407" s="2">
        <v>4159.4035219999996</v>
      </c>
    </row>
    <row r="408" spans="1:3" x14ac:dyDescent="0.2">
      <c r="A408">
        <v>71</v>
      </c>
      <c r="B408">
        <v>0.5</v>
      </c>
      <c r="C408" s="2">
        <v>5136.8846759999997</v>
      </c>
    </row>
    <row r="409" spans="1:3" x14ac:dyDescent="0.2">
      <c r="A409">
        <v>71</v>
      </c>
      <c r="B409">
        <v>7</v>
      </c>
      <c r="C409" s="2">
        <v>2331.0286980000001</v>
      </c>
    </row>
    <row r="410" spans="1:3" x14ac:dyDescent="0.2">
      <c r="A410">
        <v>72</v>
      </c>
      <c r="B410">
        <v>0</v>
      </c>
      <c r="C410" s="2">
        <v>4656.6794280000004</v>
      </c>
    </row>
    <row r="411" spans="1:3" x14ac:dyDescent="0.2">
      <c r="A411">
        <v>72</v>
      </c>
      <c r="B411">
        <v>0</v>
      </c>
      <c r="C411" s="2">
        <v>5035.6677820000004</v>
      </c>
    </row>
    <row r="412" spans="1:3" x14ac:dyDescent="0.2">
      <c r="A412">
        <v>72</v>
      </c>
      <c r="B412">
        <v>1.3</v>
      </c>
      <c r="C412" s="2">
        <v>4642.1243379999996</v>
      </c>
    </row>
    <row r="413" spans="1:3" x14ac:dyDescent="0.2">
      <c r="A413">
        <v>72</v>
      </c>
      <c r="B413">
        <v>0</v>
      </c>
      <c r="C413" s="2">
        <v>5710.0344560000003</v>
      </c>
    </row>
    <row r="414" spans="1:3" x14ac:dyDescent="0.2">
      <c r="A414">
        <v>72</v>
      </c>
      <c r="B414">
        <v>2.8</v>
      </c>
      <c r="C414" s="2">
        <v>5217.9000130000004</v>
      </c>
    </row>
    <row r="415" spans="1:3" x14ac:dyDescent="0.2">
      <c r="A415">
        <v>72</v>
      </c>
      <c r="B415">
        <v>5.7</v>
      </c>
      <c r="C415" s="2">
        <v>3545.1915180000001</v>
      </c>
    </row>
    <row r="416" spans="1:3" x14ac:dyDescent="0.2">
      <c r="A416">
        <v>73</v>
      </c>
      <c r="B416">
        <v>0</v>
      </c>
      <c r="C416" s="2">
        <v>2852.8801360000002</v>
      </c>
    </row>
    <row r="417" spans="1:3" x14ac:dyDescent="0.2">
      <c r="A417">
        <v>73</v>
      </c>
      <c r="B417">
        <v>0</v>
      </c>
      <c r="C417" s="2">
        <v>3034.4103369999998</v>
      </c>
    </row>
    <row r="418" spans="1:3" x14ac:dyDescent="0.2">
      <c r="A418">
        <v>73</v>
      </c>
      <c r="B418">
        <v>0.8</v>
      </c>
      <c r="C418" s="2">
        <v>4998.7587059999996</v>
      </c>
    </row>
    <row r="419" spans="1:3" x14ac:dyDescent="0.2">
      <c r="A419">
        <v>73</v>
      </c>
      <c r="B419">
        <v>0</v>
      </c>
      <c r="C419" s="2">
        <v>4950.8501980000001</v>
      </c>
    </row>
    <row r="420" spans="1:3" x14ac:dyDescent="0.2">
      <c r="A420">
        <v>73</v>
      </c>
      <c r="B420">
        <v>4.8</v>
      </c>
      <c r="C420" s="2">
        <v>3529.0434989999999</v>
      </c>
    </row>
    <row r="421" spans="1:3" x14ac:dyDescent="0.2">
      <c r="A421">
        <v>73</v>
      </c>
      <c r="B421">
        <v>3</v>
      </c>
      <c r="C421" s="2">
        <v>3107.929772</v>
      </c>
    </row>
    <row r="422" spans="1:3" x14ac:dyDescent="0.2">
      <c r="A422">
        <v>74</v>
      </c>
      <c r="B422">
        <v>0</v>
      </c>
      <c r="C422" s="2">
        <v>657.19879370000001</v>
      </c>
    </row>
    <row r="423" spans="1:3" x14ac:dyDescent="0.2">
      <c r="A423">
        <v>74</v>
      </c>
      <c r="B423">
        <v>1.2</v>
      </c>
      <c r="C423" s="2">
        <v>621.28531329999998</v>
      </c>
    </row>
    <row r="424" spans="1:3" x14ac:dyDescent="0.2">
      <c r="A424">
        <v>74</v>
      </c>
      <c r="B424">
        <v>0.1</v>
      </c>
      <c r="C424" s="2">
        <v>366.04252129999998</v>
      </c>
    </row>
    <row r="425" spans="1:3" x14ac:dyDescent="0.2">
      <c r="A425">
        <v>74</v>
      </c>
      <c r="B425">
        <v>2.2999999999999998</v>
      </c>
      <c r="C425" s="2">
        <v>470.42624569999998</v>
      </c>
    </row>
    <row r="426" spans="1:3" x14ac:dyDescent="0.2">
      <c r="A426">
        <v>74</v>
      </c>
      <c r="B426">
        <v>5.0999999999999996</v>
      </c>
      <c r="C426" s="2">
        <v>615.24656449999998</v>
      </c>
    </row>
    <row r="427" spans="1:3" x14ac:dyDescent="0.2">
      <c r="A427">
        <v>74</v>
      </c>
      <c r="B427">
        <v>0.3</v>
      </c>
      <c r="C427" s="2">
        <v>662.85823879999998</v>
      </c>
    </row>
    <row r="428" spans="1:3" x14ac:dyDescent="0.2">
      <c r="A428">
        <v>75</v>
      </c>
      <c r="B428">
        <v>2.2000000000000002</v>
      </c>
      <c r="C428" s="2">
        <v>4249.4221799999996</v>
      </c>
    </row>
    <row r="429" spans="1:3" x14ac:dyDescent="0.2">
      <c r="A429">
        <v>75</v>
      </c>
      <c r="B429">
        <v>1.2</v>
      </c>
      <c r="C429" s="2">
        <v>3047.884442</v>
      </c>
    </row>
    <row r="430" spans="1:3" x14ac:dyDescent="0.2">
      <c r="A430">
        <v>75</v>
      </c>
      <c r="B430">
        <v>8.1</v>
      </c>
      <c r="C430" s="2">
        <v>3459.7186750000001</v>
      </c>
    </row>
    <row r="431" spans="1:3" x14ac:dyDescent="0.2">
      <c r="A431">
        <v>75</v>
      </c>
      <c r="B431">
        <v>17.5</v>
      </c>
      <c r="C431" s="2">
        <v>4168.8264520000002</v>
      </c>
    </row>
    <row r="432" spans="1:3" x14ac:dyDescent="0.2">
      <c r="A432">
        <v>75</v>
      </c>
      <c r="B432">
        <v>2.2000000000000002</v>
      </c>
      <c r="C432" s="2">
        <v>1971.2045210000001</v>
      </c>
    </row>
    <row r="433" spans="1:3" x14ac:dyDescent="0.2">
      <c r="A433">
        <v>75</v>
      </c>
      <c r="B433">
        <v>1</v>
      </c>
      <c r="C433" s="2">
        <v>2203.6291289999999</v>
      </c>
    </row>
    <row r="434" spans="1:3" x14ac:dyDescent="0.2">
      <c r="A434">
        <v>76</v>
      </c>
      <c r="B434">
        <v>2.2000000000000002</v>
      </c>
      <c r="C434" s="2">
        <v>2006.508998</v>
      </c>
    </row>
    <row r="435" spans="1:3" x14ac:dyDescent="0.2">
      <c r="A435">
        <v>76</v>
      </c>
      <c r="B435">
        <v>1.2</v>
      </c>
      <c r="C435" s="2">
        <v>2296.4790370000001</v>
      </c>
    </row>
    <row r="436" spans="1:3" x14ac:dyDescent="0.2">
      <c r="A436">
        <v>76</v>
      </c>
      <c r="B436">
        <v>8.1</v>
      </c>
      <c r="C436" s="2">
        <v>2981.9618310000001</v>
      </c>
    </row>
    <row r="437" spans="1:3" x14ac:dyDescent="0.2">
      <c r="A437">
        <v>76</v>
      </c>
      <c r="B437">
        <v>17.5</v>
      </c>
      <c r="C437" s="2">
        <v>2368.593081</v>
      </c>
    </row>
    <row r="438" spans="1:3" x14ac:dyDescent="0.2">
      <c r="A438">
        <v>76</v>
      </c>
      <c r="B438">
        <v>2.2000000000000002</v>
      </c>
      <c r="C438" s="2">
        <v>2296.0367160000001</v>
      </c>
    </row>
    <row r="439" spans="1:3" x14ac:dyDescent="0.2">
      <c r="A439">
        <v>76</v>
      </c>
      <c r="B439">
        <v>1</v>
      </c>
      <c r="C439" s="2">
        <v>2360.4241959999999</v>
      </c>
    </row>
    <row r="440" spans="1:3" x14ac:dyDescent="0.2">
      <c r="A440">
        <v>77</v>
      </c>
      <c r="B440">
        <v>1</v>
      </c>
      <c r="C440" s="2">
        <v>3375.1469120000002</v>
      </c>
    </row>
    <row r="441" spans="1:3" x14ac:dyDescent="0.2">
      <c r="A441">
        <v>77</v>
      </c>
      <c r="B441">
        <v>2.6</v>
      </c>
      <c r="C441" s="2">
        <v>4781.8111239999998</v>
      </c>
    </row>
    <row r="442" spans="1:3" x14ac:dyDescent="0.2">
      <c r="A442">
        <v>77</v>
      </c>
      <c r="B442">
        <v>0.1</v>
      </c>
      <c r="C442" s="2">
        <v>3804.7014399999998</v>
      </c>
    </row>
    <row r="443" spans="1:3" x14ac:dyDescent="0.2">
      <c r="A443">
        <v>77</v>
      </c>
      <c r="B443">
        <v>1</v>
      </c>
      <c r="C443" s="2">
        <v>2851.701004</v>
      </c>
    </row>
    <row r="444" spans="1:3" x14ac:dyDescent="0.2">
      <c r="A444">
        <v>77</v>
      </c>
      <c r="B444">
        <v>0.4</v>
      </c>
      <c r="C444" s="2">
        <v>6771.5341719999997</v>
      </c>
    </row>
    <row r="445" spans="1:3" x14ac:dyDescent="0.2">
      <c r="A445">
        <v>77</v>
      </c>
      <c r="B445">
        <v>0.1</v>
      </c>
      <c r="C445" s="2">
        <v>5407.8039479999998</v>
      </c>
    </row>
    <row r="446" spans="1:3" x14ac:dyDescent="0.2">
      <c r="A446">
        <v>78</v>
      </c>
      <c r="B446">
        <v>0</v>
      </c>
      <c r="C446" s="2">
        <v>4158.6605179999997</v>
      </c>
    </row>
    <row r="447" spans="1:3" x14ac:dyDescent="0.2">
      <c r="A447">
        <v>78</v>
      </c>
      <c r="B447">
        <v>0.4</v>
      </c>
      <c r="C447" s="2">
        <v>5250.9692889999997</v>
      </c>
    </row>
    <row r="448" spans="1:3" x14ac:dyDescent="0.2">
      <c r="A448">
        <v>78</v>
      </c>
      <c r="B448">
        <v>0</v>
      </c>
      <c r="C448" s="2">
        <v>9364.7860469999996</v>
      </c>
    </row>
    <row r="449" spans="1:3" x14ac:dyDescent="0.2">
      <c r="A449">
        <v>78</v>
      </c>
      <c r="B449">
        <v>0</v>
      </c>
      <c r="C449" s="2">
        <v>7762.5990760000004</v>
      </c>
    </row>
    <row r="450" spans="1:3" x14ac:dyDescent="0.2">
      <c r="A450">
        <v>78</v>
      </c>
      <c r="B450">
        <v>0</v>
      </c>
      <c r="C450" s="2">
        <v>8695.1473879999994</v>
      </c>
    </row>
    <row r="451" spans="1:3" x14ac:dyDescent="0.2">
      <c r="A451">
        <v>78</v>
      </c>
      <c r="B451">
        <v>4.2</v>
      </c>
      <c r="C451" s="2">
        <v>4040.0089910000002</v>
      </c>
    </row>
    <row r="452" spans="1:3" x14ac:dyDescent="0.2">
      <c r="A452">
        <v>79</v>
      </c>
      <c r="B452">
        <v>0.8</v>
      </c>
      <c r="C452" s="2">
        <v>1456.6727040000001</v>
      </c>
    </row>
    <row r="453" spans="1:3" x14ac:dyDescent="0.2">
      <c r="A453">
        <v>79</v>
      </c>
      <c r="B453">
        <v>0.3</v>
      </c>
      <c r="C453" s="2">
        <v>3339.6140580000001</v>
      </c>
    </row>
    <row r="454" spans="1:3" x14ac:dyDescent="0.2">
      <c r="A454">
        <v>79</v>
      </c>
      <c r="B454">
        <v>0</v>
      </c>
      <c r="C454" s="2">
        <v>1839.8987159999999</v>
      </c>
    </row>
    <row r="455" spans="1:3" x14ac:dyDescent="0.2">
      <c r="A455">
        <v>79</v>
      </c>
      <c r="B455">
        <v>0</v>
      </c>
      <c r="C455" s="2">
        <v>3448.9743239999998</v>
      </c>
    </row>
    <row r="456" spans="1:3" x14ac:dyDescent="0.2">
      <c r="A456">
        <v>79</v>
      </c>
      <c r="B456">
        <v>0.8</v>
      </c>
      <c r="C456" s="2">
        <v>1594.0541009999999</v>
      </c>
    </row>
    <row r="457" spans="1:3" x14ac:dyDescent="0.2">
      <c r="A457">
        <v>79</v>
      </c>
      <c r="B457">
        <v>1.8</v>
      </c>
      <c r="C457" s="2">
        <v>3269.568851</v>
      </c>
    </row>
    <row r="458" spans="1:3" x14ac:dyDescent="0.2">
      <c r="A458">
        <v>80</v>
      </c>
      <c r="B458">
        <v>0.8</v>
      </c>
      <c r="C458" s="2">
        <v>3624.815861</v>
      </c>
    </row>
    <row r="459" spans="1:3" x14ac:dyDescent="0.2">
      <c r="A459">
        <v>80</v>
      </c>
      <c r="B459">
        <v>0.3</v>
      </c>
      <c r="C459" s="2">
        <v>2869.4268889999998</v>
      </c>
    </row>
    <row r="460" spans="1:3" x14ac:dyDescent="0.2">
      <c r="A460">
        <v>80</v>
      </c>
      <c r="B460">
        <v>0</v>
      </c>
      <c r="C460" s="2">
        <v>3045.5446860000002</v>
      </c>
    </row>
    <row r="461" spans="1:3" x14ac:dyDescent="0.2">
      <c r="A461">
        <v>80</v>
      </c>
      <c r="B461">
        <v>0</v>
      </c>
      <c r="C461" s="2">
        <v>2119.669065</v>
      </c>
    </row>
    <row r="462" spans="1:3" x14ac:dyDescent="0.2">
      <c r="A462">
        <v>80</v>
      </c>
      <c r="B462">
        <v>0.8</v>
      </c>
      <c r="C462" s="2">
        <v>2323.2025699999999</v>
      </c>
    </row>
    <row r="463" spans="1:3" x14ac:dyDescent="0.2">
      <c r="A463">
        <v>80</v>
      </c>
      <c r="B463">
        <v>1.8</v>
      </c>
      <c r="C463" s="2">
        <v>3566.2941959999998</v>
      </c>
    </row>
    <row r="464" spans="1:3" x14ac:dyDescent="0.2">
      <c r="A464">
        <v>81</v>
      </c>
      <c r="B464">
        <v>0.7</v>
      </c>
      <c r="C464" s="2">
        <v>2800.1383799999999</v>
      </c>
    </row>
    <row r="465" spans="1:3" x14ac:dyDescent="0.2">
      <c r="A465">
        <v>81</v>
      </c>
      <c r="B465">
        <v>0.3</v>
      </c>
      <c r="C465" s="2">
        <v>2130.9145760000001</v>
      </c>
    </row>
    <row r="466" spans="1:3" x14ac:dyDescent="0.2">
      <c r="A466">
        <v>81</v>
      </c>
      <c r="B466">
        <v>0</v>
      </c>
      <c r="C466" s="2">
        <v>3163.2072939999998</v>
      </c>
    </row>
    <row r="467" spans="1:3" x14ac:dyDescent="0.2">
      <c r="A467">
        <v>81</v>
      </c>
      <c r="B467">
        <v>0</v>
      </c>
      <c r="C467" s="2">
        <v>2090.5574449999999</v>
      </c>
    </row>
    <row r="468" spans="1:3" x14ac:dyDescent="0.2">
      <c r="A468">
        <v>81</v>
      </c>
      <c r="B468">
        <v>1.4</v>
      </c>
      <c r="C468" s="2">
        <v>2036.5412960000001</v>
      </c>
    </row>
    <row r="469" spans="1:3" x14ac:dyDescent="0.2">
      <c r="A469">
        <v>81</v>
      </c>
      <c r="B469">
        <v>1.4</v>
      </c>
      <c r="C469" s="2">
        <v>963.02453790000004</v>
      </c>
    </row>
    <row r="470" spans="1:3" x14ac:dyDescent="0.2">
      <c r="A470">
        <v>82</v>
      </c>
      <c r="B470">
        <v>0.7</v>
      </c>
      <c r="C470" s="2">
        <v>885.31135470000004</v>
      </c>
    </row>
    <row r="471" spans="1:3" x14ac:dyDescent="0.2">
      <c r="A471">
        <v>82</v>
      </c>
      <c r="B471">
        <v>0.3</v>
      </c>
      <c r="C471" s="2">
        <v>738.42460110000002</v>
      </c>
    </row>
    <row r="472" spans="1:3" x14ac:dyDescent="0.2">
      <c r="A472">
        <v>82</v>
      </c>
      <c r="B472">
        <v>0</v>
      </c>
      <c r="C472" s="2">
        <v>1060.4573330000001</v>
      </c>
    </row>
    <row r="473" spans="1:3" x14ac:dyDescent="0.2">
      <c r="A473">
        <v>82</v>
      </c>
      <c r="B473">
        <v>0</v>
      </c>
      <c r="C473" s="2">
        <v>711.60490219999997</v>
      </c>
    </row>
    <row r="474" spans="1:3" x14ac:dyDescent="0.2">
      <c r="A474">
        <v>82</v>
      </c>
      <c r="B474">
        <v>1.4</v>
      </c>
      <c r="C474" s="2">
        <v>959.38473839999995</v>
      </c>
    </row>
    <row r="475" spans="1:3" x14ac:dyDescent="0.2">
      <c r="A475">
        <v>82</v>
      </c>
      <c r="B475">
        <v>1.4</v>
      </c>
      <c r="C475" s="2">
        <v>362.511661</v>
      </c>
    </row>
    <row r="476" spans="1:3" x14ac:dyDescent="0.2">
      <c r="A476">
        <v>83</v>
      </c>
      <c r="B476">
        <v>0.7</v>
      </c>
      <c r="C476" s="2">
        <v>1975.959548</v>
      </c>
    </row>
    <row r="477" spans="1:3" x14ac:dyDescent="0.2">
      <c r="A477">
        <v>83</v>
      </c>
      <c r="B477">
        <v>0.3</v>
      </c>
      <c r="C477" s="2">
        <v>6955.1169209999998</v>
      </c>
    </row>
    <row r="478" spans="1:3" x14ac:dyDescent="0.2">
      <c r="A478">
        <v>83</v>
      </c>
      <c r="B478">
        <v>0</v>
      </c>
      <c r="C478" s="2">
        <v>4769.6244969999998</v>
      </c>
    </row>
    <row r="479" spans="1:3" x14ac:dyDescent="0.2">
      <c r="A479">
        <v>83</v>
      </c>
      <c r="B479">
        <v>0</v>
      </c>
      <c r="C479" s="2">
        <v>4823.1493019999998</v>
      </c>
    </row>
    <row r="480" spans="1:3" x14ac:dyDescent="0.2">
      <c r="A480">
        <v>83</v>
      </c>
      <c r="B480">
        <v>1.4</v>
      </c>
      <c r="C480" s="2">
        <v>3337.9423809999998</v>
      </c>
    </row>
    <row r="481" spans="1:3" x14ac:dyDescent="0.2">
      <c r="A481">
        <v>83</v>
      </c>
      <c r="B481">
        <v>1.4</v>
      </c>
      <c r="C481" s="2">
        <v>3570.5052070000002</v>
      </c>
    </row>
    <row r="482" spans="1:3" x14ac:dyDescent="0.2">
      <c r="A482">
        <v>84</v>
      </c>
      <c r="B482">
        <v>0.7</v>
      </c>
      <c r="C482" s="2">
        <v>715.75637949999998</v>
      </c>
    </row>
    <row r="483" spans="1:3" x14ac:dyDescent="0.2">
      <c r="A483">
        <v>84</v>
      </c>
      <c r="B483">
        <v>0.3</v>
      </c>
      <c r="C483" s="2">
        <v>3679.6900679999999</v>
      </c>
    </row>
    <row r="484" spans="1:3" x14ac:dyDescent="0.2">
      <c r="A484">
        <v>84</v>
      </c>
      <c r="B484">
        <v>0</v>
      </c>
      <c r="C484" s="2">
        <v>3323.0011209999998</v>
      </c>
    </row>
    <row r="485" spans="1:3" x14ac:dyDescent="0.2">
      <c r="A485">
        <v>84</v>
      </c>
      <c r="B485">
        <v>0</v>
      </c>
      <c r="C485" s="2">
        <v>2076.8279889999999</v>
      </c>
    </row>
    <row r="486" spans="1:3" x14ac:dyDescent="0.2">
      <c r="A486">
        <v>84</v>
      </c>
      <c r="B486">
        <v>1.4</v>
      </c>
      <c r="C486" s="2">
        <v>1948.1763109999999</v>
      </c>
    </row>
    <row r="487" spans="1:3" x14ac:dyDescent="0.2">
      <c r="A487">
        <v>84</v>
      </c>
      <c r="B487">
        <v>1.4</v>
      </c>
      <c r="C487" s="2">
        <v>1929.6313520000001</v>
      </c>
    </row>
    <row r="488" spans="1:3" x14ac:dyDescent="0.2">
      <c r="A488">
        <v>85</v>
      </c>
      <c r="B488">
        <v>0.3</v>
      </c>
      <c r="C488" s="2">
        <v>2032.0886760000001</v>
      </c>
    </row>
    <row r="489" spans="1:3" x14ac:dyDescent="0.2">
      <c r="A489">
        <v>85</v>
      </c>
      <c r="B489">
        <v>0</v>
      </c>
      <c r="C489" s="2">
        <v>2153.1495690000002</v>
      </c>
    </row>
    <row r="490" spans="1:3" x14ac:dyDescent="0.2">
      <c r="A490">
        <v>85</v>
      </c>
      <c r="B490">
        <v>2.7</v>
      </c>
      <c r="C490" s="2">
        <v>1297.756155</v>
      </c>
    </row>
    <row r="491" spans="1:3" x14ac:dyDescent="0.2">
      <c r="A491">
        <v>85</v>
      </c>
      <c r="B491">
        <v>2.1</v>
      </c>
      <c r="C491" s="2">
        <v>1414.952014</v>
      </c>
    </row>
    <row r="492" spans="1:3" x14ac:dyDescent="0.2">
      <c r="A492">
        <v>85</v>
      </c>
      <c r="B492">
        <v>0</v>
      </c>
      <c r="C492" s="2">
        <v>1067.8037440000001</v>
      </c>
    </row>
    <row r="493" spans="1:3" x14ac:dyDescent="0.2">
      <c r="A493">
        <v>85</v>
      </c>
      <c r="B493">
        <v>1.1000000000000001</v>
      </c>
      <c r="C493" s="2">
        <v>1426.7652089999999</v>
      </c>
    </row>
    <row r="494" spans="1:3" x14ac:dyDescent="0.2">
      <c r="A494">
        <v>86</v>
      </c>
      <c r="B494">
        <v>0.3</v>
      </c>
      <c r="C494" s="2">
        <v>2510.0282619999998</v>
      </c>
    </row>
    <row r="495" spans="1:3" x14ac:dyDescent="0.2">
      <c r="A495">
        <v>86</v>
      </c>
      <c r="B495">
        <v>0</v>
      </c>
      <c r="C495" s="2">
        <v>3112.617643</v>
      </c>
    </row>
    <row r="496" spans="1:3" x14ac:dyDescent="0.2">
      <c r="A496">
        <v>86</v>
      </c>
      <c r="B496">
        <v>2.7</v>
      </c>
      <c r="C496" s="2">
        <v>3520.9632449999999</v>
      </c>
    </row>
    <row r="497" spans="1:3" x14ac:dyDescent="0.2">
      <c r="A497">
        <v>86</v>
      </c>
      <c r="B497">
        <v>2.1</v>
      </c>
      <c r="C497" s="2">
        <v>2352.6534489999999</v>
      </c>
    </row>
    <row r="498" spans="1:3" x14ac:dyDescent="0.2">
      <c r="A498">
        <v>86</v>
      </c>
      <c r="B498">
        <v>0</v>
      </c>
      <c r="C498" s="2">
        <v>3546.6913930000001</v>
      </c>
    </row>
    <row r="499" spans="1:3" x14ac:dyDescent="0.2">
      <c r="A499">
        <v>86</v>
      </c>
      <c r="B499">
        <v>1.1000000000000001</v>
      </c>
      <c r="C499" s="2">
        <v>3187.0630270000001</v>
      </c>
    </row>
    <row r="500" spans="1:3" x14ac:dyDescent="0.2">
      <c r="A500">
        <v>87</v>
      </c>
      <c r="B500">
        <v>0.3</v>
      </c>
      <c r="C500" s="2">
        <v>2237.1426139999999</v>
      </c>
    </row>
    <row r="501" spans="1:3" x14ac:dyDescent="0.2">
      <c r="A501">
        <v>87</v>
      </c>
      <c r="B501">
        <v>0</v>
      </c>
      <c r="C501" s="2">
        <v>3635.4108470000001</v>
      </c>
    </row>
    <row r="502" spans="1:3" x14ac:dyDescent="0.2">
      <c r="A502">
        <v>87</v>
      </c>
      <c r="B502">
        <v>2.7</v>
      </c>
      <c r="C502" s="2">
        <v>2398.680629</v>
      </c>
    </row>
    <row r="503" spans="1:3" x14ac:dyDescent="0.2">
      <c r="A503">
        <v>87</v>
      </c>
      <c r="B503">
        <v>2.1</v>
      </c>
      <c r="C503" s="2">
        <v>3604.245555</v>
      </c>
    </row>
    <row r="504" spans="1:3" x14ac:dyDescent="0.2">
      <c r="A504">
        <v>87</v>
      </c>
      <c r="B504">
        <v>0</v>
      </c>
      <c r="C504" s="2">
        <v>4215.4328960000003</v>
      </c>
    </row>
    <row r="505" spans="1:3" x14ac:dyDescent="0.2">
      <c r="A505">
        <v>87</v>
      </c>
      <c r="B505">
        <v>1.1000000000000001</v>
      </c>
      <c r="C505" s="2">
        <v>2700.6073649999998</v>
      </c>
    </row>
    <row r="506" spans="1:3" x14ac:dyDescent="0.2">
      <c r="A506">
        <v>88</v>
      </c>
      <c r="B506">
        <v>3.1</v>
      </c>
      <c r="C506" s="2">
        <v>2136.8484010000002</v>
      </c>
    </row>
    <row r="507" spans="1:3" x14ac:dyDescent="0.2">
      <c r="A507">
        <v>88</v>
      </c>
      <c r="B507">
        <v>0.9</v>
      </c>
      <c r="C507" s="2">
        <v>2477.1905820000002</v>
      </c>
    </row>
    <row r="508" spans="1:3" x14ac:dyDescent="0.2">
      <c r="A508">
        <v>88</v>
      </c>
      <c r="B508">
        <v>0.1</v>
      </c>
      <c r="C508" s="2">
        <v>3359.318315</v>
      </c>
    </row>
    <row r="509" spans="1:3" x14ac:dyDescent="0.2">
      <c r="A509">
        <v>88</v>
      </c>
      <c r="B509">
        <v>1.2</v>
      </c>
      <c r="C509" s="2">
        <v>3071.2165490000002</v>
      </c>
    </row>
    <row r="510" spans="1:3" x14ac:dyDescent="0.2">
      <c r="A510">
        <v>88</v>
      </c>
      <c r="B510">
        <v>1.6</v>
      </c>
      <c r="C510" s="2">
        <v>2727.102492</v>
      </c>
    </row>
    <row r="511" spans="1:3" x14ac:dyDescent="0.2">
      <c r="A511">
        <v>88</v>
      </c>
      <c r="B511">
        <v>0.2</v>
      </c>
      <c r="C511" s="2">
        <v>3560.18676</v>
      </c>
    </row>
    <row r="512" spans="1:3" x14ac:dyDescent="0.2">
      <c r="A512">
        <v>89</v>
      </c>
      <c r="B512">
        <v>3.1</v>
      </c>
      <c r="C512" s="2">
        <v>2345.2225079999998</v>
      </c>
    </row>
    <row r="513" spans="1:3" x14ac:dyDescent="0.2">
      <c r="A513">
        <v>89</v>
      </c>
      <c r="B513">
        <v>0.9</v>
      </c>
      <c r="C513" s="2">
        <v>1776.551062</v>
      </c>
    </row>
    <row r="514" spans="1:3" x14ac:dyDescent="0.2">
      <c r="A514">
        <v>89</v>
      </c>
      <c r="B514">
        <v>0.1</v>
      </c>
      <c r="C514" s="2">
        <v>2480.5222319999998</v>
      </c>
    </row>
    <row r="515" spans="1:3" x14ac:dyDescent="0.2">
      <c r="A515">
        <v>89</v>
      </c>
      <c r="B515">
        <v>1.2</v>
      </c>
      <c r="C515" s="2">
        <v>2116.1044430000002</v>
      </c>
    </row>
    <row r="516" spans="1:3" x14ac:dyDescent="0.2">
      <c r="A516">
        <v>89</v>
      </c>
      <c r="B516">
        <v>1.6</v>
      </c>
      <c r="C516" s="2">
        <v>1254.6108830000001</v>
      </c>
    </row>
    <row r="517" spans="1:3" x14ac:dyDescent="0.2">
      <c r="A517">
        <v>89</v>
      </c>
      <c r="B517">
        <v>0.2</v>
      </c>
      <c r="C517" s="2">
        <v>1836.5483300000001</v>
      </c>
    </row>
    <row r="518" spans="1:3" x14ac:dyDescent="0.2">
      <c r="A518">
        <v>90</v>
      </c>
      <c r="B518">
        <v>4.3</v>
      </c>
      <c r="C518" s="2">
        <v>1364.9916740000001</v>
      </c>
    </row>
    <row r="519" spans="1:3" x14ac:dyDescent="0.2">
      <c r="A519">
        <v>90</v>
      </c>
      <c r="B519">
        <v>7.8</v>
      </c>
      <c r="C519" s="2">
        <v>2081.1472090000002</v>
      </c>
    </row>
    <row r="520" spans="1:3" x14ac:dyDescent="0.2">
      <c r="A520">
        <v>90</v>
      </c>
      <c r="B520">
        <v>0</v>
      </c>
      <c r="C520" s="2">
        <v>2000.8856149999999</v>
      </c>
    </row>
    <row r="521" spans="1:3" x14ac:dyDescent="0.2">
      <c r="A521">
        <v>90</v>
      </c>
      <c r="B521">
        <v>1.5</v>
      </c>
      <c r="C521" s="2">
        <v>1584.4708009999999</v>
      </c>
    </row>
    <row r="522" spans="1:3" x14ac:dyDescent="0.2">
      <c r="A522">
        <v>90</v>
      </c>
      <c r="B522">
        <v>1.7</v>
      </c>
      <c r="C522" s="2">
        <v>1514.186682</v>
      </c>
    </row>
    <row r="523" spans="1:3" x14ac:dyDescent="0.2">
      <c r="A523">
        <v>90</v>
      </c>
      <c r="B523">
        <v>0.3</v>
      </c>
      <c r="C523" s="2">
        <v>1859.5171339999999</v>
      </c>
    </row>
    <row r="524" spans="1:3" x14ac:dyDescent="0.2">
      <c r="A524">
        <v>91</v>
      </c>
      <c r="B524">
        <v>4.3</v>
      </c>
      <c r="C524" s="2">
        <v>1915.8750729999999</v>
      </c>
    </row>
    <row r="525" spans="1:3" x14ac:dyDescent="0.2">
      <c r="A525">
        <v>91</v>
      </c>
      <c r="B525">
        <v>7.8</v>
      </c>
      <c r="C525" s="2">
        <v>1510.8677769999999</v>
      </c>
    </row>
    <row r="526" spans="1:3" x14ac:dyDescent="0.2">
      <c r="A526">
        <v>91</v>
      </c>
      <c r="B526">
        <v>0</v>
      </c>
      <c r="C526" s="2">
        <v>766.0356342</v>
      </c>
    </row>
    <row r="527" spans="1:3" x14ac:dyDescent="0.2">
      <c r="A527">
        <v>91</v>
      </c>
      <c r="B527">
        <v>1.5</v>
      </c>
      <c r="C527" s="2">
        <v>896.79756380000003</v>
      </c>
    </row>
    <row r="528" spans="1:3" x14ac:dyDescent="0.2">
      <c r="A528">
        <v>91</v>
      </c>
      <c r="B528">
        <v>1.7</v>
      </c>
      <c r="C528" s="2">
        <v>1597.891079</v>
      </c>
    </row>
    <row r="529" spans="1:3" x14ac:dyDescent="0.2">
      <c r="A529">
        <v>91</v>
      </c>
      <c r="B529">
        <v>0.3</v>
      </c>
      <c r="C529" s="2">
        <v>1065.6320800000001</v>
      </c>
    </row>
    <row r="530" spans="1:3" x14ac:dyDescent="0.2">
      <c r="A530">
        <v>92</v>
      </c>
      <c r="B530">
        <v>0.8</v>
      </c>
      <c r="C530" s="2">
        <v>815.97602410000002</v>
      </c>
    </row>
    <row r="531" spans="1:3" x14ac:dyDescent="0.2">
      <c r="A531">
        <v>92</v>
      </c>
      <c r="B531">
        <v>0.1</v>
      </c>
      <c r="C531" s="2">
        <v>483.37768790000001</v>
      </c>
    </row>
    <row r="532" spans="1:3" x14ac:dyDescent="0.2">
      <c r="A532">
        <v>92</v>
      </c>
      <c r="B532">
        <v>0.1</v>
      </c>
      <c r="C532" s="2">
        <v>505.2033897</v>
      </c>
    </row>
    <row r="533" spans="1:3" x14ac:dyDescent="0.2">
      <c r="A533">
        <v>92</v>
      </c>
      <c r="B533">
        <v>0.2</v>
      </c>
      <c r="C533" s="2">
        <v>391.65983879999999</v>
      </c>
    </row>
    <row r="534" spans="1:3" x14ac:dyDescent="0.2">
      <c r="A534">
        <v>92</v>
      </c>
      <c r="B534">
        <v>1.9</v>
      </c>
      <c r="C534" s="2">
        <v>1087.0534709999999</v>
      </c>
    </row>
    <row r="535" spans="1:3" x14ac:dyDescent="0.2">
      <c r="A535">
        <v>92</v>
      </c>
      <c r="B535">
        <v>0.7</v>
      </c>
      <c r="C535" s="2">
        <v>664.38407840000002</v>
      </c>
    </row>
    <row r="536" spans="1:3" x14ac:dyDescent="0.2">
      <c r="A536">
        <v>93</v>
      </c>
      <c r="B536">
        <v>0</v>
      </c>
      <c r="C536" s="2">
        <v>6015.2065160000002</v>
      </c>
    </row>
    <row r="537" spans="1:3" x14ac:dyDescent="0.2">
      <c r="A537">
        <v>93</v>
      </c>
      <c r="B537">
        <v>0</v>
      </c>
      <c r="C537" s="2">
        <v>5453.7190449999998</v>
      </c>
    </row>
    <row r="538" spans="1:3" x14ac:dyDescent="0.2">
      <c r="A538">
        <v>93</v>
      </c>
      <c r="B538">
        <v>0.4</v>
      </c>
      <c r="C538" s="2">
        <v>3165.6051950000001</v>
      </c>
    </row>
    <row r="539" spans="1:3" x14ac:dyDescent="0.2">
      <c r="A539">
        <v>93</v>
      </c>
      <c r="B539">
        <v>2.5</v>
      </c>
      <c r="C539" s="2">
        <v>4707.3599039999999</v>
      </c>
    </row>
    <row r="540" spans="1:3" x14ac:dyDescent="0.2">
      <c r="A540">
        <v>93</v>
      </c>
      <c r="B540">
        <v>0.8</v>
      </c>
      <c r="C540" s="2">
        <v>2764.6127160000001</v>
      </c>
    </row>
    <row r="541" spans="1:3" x14ac:dyDescent="0.2">
      <c r="A541">
        <v>93</v>
      </c>
      <c r="B541">
        <v>5.5</v>
      </c>
      <c r="C541" s="2">
        <v>1840.194692</v>
      </c>
    </row>
    <row r="542" spans="1:3" x14ac:dyDescent="0.2">
      <c r="A542">
        <v>94</v>
      </c>
      <c r="B542">
        <v>2.2000000000000002</v>
      </c>
      <c r="C542" s="2">
        <v>6051.2515789999998</v>
      </c>
    </row>
    <row r="543" spans="1:3" x14ac:dyDescent="0.2">
      <c r="A543">
        <v>94</v>
      </c>
      <c r="B543">
        <v>2.7</v>
      </c>
      <c r="C543" s="2">
        <v>6555.9570860000003</v>
      </c>
    </row>
    <row r="544" spans="1:3" x14ac:dyDescent="0.2">
      <c r="A544">
        <v>94</v>
      </c>
      <c r="B544">
        <v>0.7</v>
      </c>
      <c r="C544" s="2">
        <v>6626.9257790000001</v>
      </c>
    </row>
    <row r="545" spans="1:3" x14ac:dyDescent="0.2">
      <c r="A545">
        <v>94</v>
      </c>
      <c r="B545">
        <v>4.9000000000000004</v>
      </c>
      <c r="C545" s="2">
        <v>6348.9058029999997</v>
      </c>
    </row>
    <row r="546" spans="1:3" x14ac:dyDescent="0.2">
      <c r="A546">
        <v>94</v>
      </c>
      <c r="B546">
        <v>2.7</v>
      </c>
      <c r="C546" s="2">
        <v>7188.5660390000003</v>
      </c>
    </row>
    <row r="547" spans="1:3" x14ac:dyDescent="0.2">
      <c r="A547">
        <v>94</v>
      </c>
      <c r="B547">
        <v>1.1000000000000001</v>
      </c>
      <c r="C547" s="2">
        <v>5843.1236959999997</v>
      </c>
    </row>
    <row r="548" spans="1:3" x14ac:dyDescent="0.2">
      <c r="A548">
        <v>95</v>
      </c>
      <c r="B548">
        <v>2.2000000000000002</v>
      </c>
      <c r="C548" s="2">
        <v>3779.5900310000002</v>
      </c>
    </row>
    <row r="549" spans="1:3" x14ac:dyDescent="0.2">
      <c r="A549">
        <v>95</v>
      </c>
      <c r="B549">
        <v>2.7</v>
      </c>
      <c r="C549" s="2">
        <v>2517.9846889999999</v>
      </c>
    </row>
    <row r="550" spans="1:3" x14ac:dyDescent="0.2">
      <c r="A550">
        <v>95</v>
      </c>
      <c r="B550">
        <v>0.7</v>
      </c>
      <c r="C550" s="2">
        <v>4402.0070249999999</v>
      </c>
    </row>
    <row r="551" spans="1:3" x14ac:dyDescent="0.2">
      <c r="A551">
        <v>95</v>
      </c>
      <c r="B551">
        <v>4.9000000000000004</v>
      </c>
      <c r="C551" s="2">
        <v>2045.801504</v>
      </c>
    </row>
    <row r="552" spans="1:3" x14ac:dyDescent="0.2">
      <c r="A552">
        <v>95</v>
      </c>
      <c r="B552">
        <v>2.7</v>
      </c>
      <c r="C552" s="2">
        <v>3350.5417040000002</v>
      </c>
    </row>
    <row r="553" spans="1:3" x14ac:dyDescent="0.2">
      <c r="A553">
        <v>95</v>
      </c>
      <c r="B553">
        <v>1.1000000000000001</v>
      </c>
      <c r="C553" s="2">
        <v>2027.6451959999999</v>
      </c>
    </row>
    <row r="554" spans="1:3" x14ac:dyDescent="0.2">
      <c r="A554">
        <v>96</v>
      </c>
      <c r="B554">
        <v>2.2000000000000002</v>
      </c>
      <c r="C554" s="2">
        <v>1334.588786</v>
      </c>
    </row>
    <row r="555" spans="1:3" x14ac:dyDescent="0.2">
      <c r="A555">
        <v>96</v>
      </c>
      <c r="B555">
        <v>2.7</v>
      </c>
      <c r="C555" s="2">
        <v>1927.6396560000001</v>
      </c>
    </row>
    <row r="556" spans="1:3" x14ac:dyDescent="0.2">
      <c r="A556">
        <v>96</v>
      </c>
      <c r="B556">
        <v>0.7</v>
      </c>
      <c r="C556" s="2">
        <v>1459.91185</v>
      </c>
    </row>
    <row r="557" spans="1:3" x14ac:dyDescent="0.2">
      <c r="A557">
        <v>96</v>
      </c>
      <c r="B557">
        <v>4.9000000000000004</v>
      </c>
      <c r="C557" s="2">
        <v>3600.5661409999998</v>
      </c>
    </row>
    <row r="558" spans="1:3" x14ac:dyDescent="0.2">
      <c r="A558">
        <v>96</v>
      </c>
      <c r="B558">
        <v>2.7</v>
      </c>
      <c r="C558" s="2">
        <v>1596.904147</v>
      </c>
    </row>
    <row r="559" spans="1:3" x14ac:dyDescent="0.2">
      <c r="A559">
        <v>96</v>
      </c>
      <c r="B559">
        <v>1.1000000000000001</v>
      </c>
      <c r="C559" s="2">
        <v>2660.1465950000002</v>
      </c>
    </row>
    <row r="560" spans="1:3" x14ac:dyDescent="0.2">
      <c r="A560">
        <v>97</v>
      </c>
      <c r="B560">
        <v>1.9</v>
      </c>
      <c r="C560" s="2">
        <v>1115.6232219999999</v>
      </c>
    </row>
    <row r="561" spans="1:3" x14ac:dyDescent="0.2">
      <c r="A561">
        <v>97</v>
      </c>
      <c r="B561">
        <v>4.2</v>
      </c>
      <c r="C561" s="2">
        <v>1112.9473519999999</v>
      </c>
    </row>
    <row r="562" spans="1:3" x14ac:dyDescent="0.2">
      <c r="A562">
        <v>97</v>
      </c>
      <c r="B562">
        <v>2.4</v>
      </c>
      <c r="C562" s="2">
        <v>526.93869070000005</v>
      </c>
    </row>
    <row r="563" spans="1:3" x14ac:dyDescent="0.2">
      <c r="A563">
        <v>97</v>
      </c>
      <c r="B563">
        <v>5.8</v>
      </c>
      <c r="C563" s="2">
        <v>1047.9877100000001</v>
      </c>
    </row>
    <row r="564" spans="1:3" x14ac:dyDescent="0.2">
      <c r="A564">
        <v>97</v>
      </c>
      <c r="B564">
        <v>0.8</v>
      </c>
      <c r="C564" s="2">
        <v>1046.4698269999999</v>
      </c>
    </row>
    <row r="565" spans="1:3" x14ac:dyDescent="0.2">
      <c r="A565">
        <v>97</v>
      </c>
      <c r="B565">
        <v>0.3</v>
      </c>
      <c r="C565" s="2">
        <v>1365.73901</v>
      </c>
    </row>
  </sheetData>
  <autoFilter ref="A1:C1" xr:uid="{74B731A4-7BDC-FC49-BB09-87154575E8B1}">
    <sortState xmlns:xlrd2="http://schemas.microsoft.com/office/spreadsheetml/2017/richdata2" ref="A2:C565">
      <sortCondition ref="A1:A565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6B69-298B-9343-BC92-B34640B77FA4}">
  <dimension ref="B2:E20"/>
  <sheetViews>
    <sheetView tabSelected="1" workbookViewId="0">
      <selection activeCell="C2" sqref="C2"/>
    </sheetView>
  </sheetViews>
  <sheetFormatPr baseColWidth="10" defaultRowHeight="15" x14ac:dyDescent="0.2"/>
  <cols>
    <col min="1" max="1" width="12.1640625" customWidth="1"/>
    <col min="2" max="2" width="19.6640625" bestFit="1" customWidth="1"/>
    <col min="3" max="3" width="15.6640625" bestFit="1" customWidth="1"/>
  </cols>
  <sheetData>
    <row r="2" spans="2:5" x14ac:dyDescent="0.2">
      <c r="B2" t="s">
        <v>201</v>
      </c>
    </row>
    <row r="4" spans="2:5" x14ac:dyDescent="0.2">
      <c r="B4" t="s">
        <v>202</v>
      </c>
    </row>
    <row r="5" spans="2:5" ht="32" x14ac:dyDescent="0.2">
      <c r="B5" s="4" t="s">
        <v>200</v>
      </c>
      <c r="C5" s="5" t="s">
        <v>203</v>
      </c>
      <c r="D5" s="5" t="s">
        <v>204</v>
      </c>
      <c r="E5" s="5" t="s">
        <v>205</v>
      </c>
    </row>
    <row r="6" spans="2:5" x14ac:dyDescent="0.2">
      <c r="B6" s="3">
        <v>1</v>
      </c>
      <c r="C6" s="2">
        <v>9.0795936277913842</v>
      </c>
      <c r="D6" s="6">
        <f>E6^2</f>
        <v>3.2211820296524653E-30</v>
      </c>
      <c r="E6" s="2">
        <v>1.7947651739579931E-15</v>
      </c>
    </row>
    <row r="7" spans="2:5" x14ac:dyDescent="0.2">
      <c r="B7" s="3">
        <v>2</v>
      </c>
      <c r="C7" s="2">
        <v>27.585278097815333</v>
      </c>
      <c r="D7" s="6">
        <f t="shared" ref="D7:D15" si="0">E7^2</f>
        <v>3.0687515028167058</v>
      </c>
      <c r="E7" s="2">
        <v>1.7517852330741648</v>
      </c>
    </row>
    <row r="8" spans="2:5" x14ac:dyDescent="0.2">
      <c r="B8" s="3">
        <v>3</v>
      </c>
      <c r="C8" s="2">
        <v>24.519441295761364</v>
      </c>
      <c r="D8" s="6">
        <f t="shared" si="0"/>
        <v>0.94557471689636996</v>
      </c>
      <c r="E8" s="2">
        <v>0.97240666230562711</v>
      </c>
    </row>
    <row r="9" spans="2:5" x14ac:dyDescent="0.2">
      <c r="B9" s="3">
        <v>4</v>
      </c>
      <c r="C9" s="2">
        <v>7.2091236031003429</v>
      </c>
      <c r="D9" s="6">
        <f t="shared" si="0"/>
        <v>4.5172149983979004E-2</v>
      </c>
      <c r="E9" s="2">
        <v>0.21253740843432481</v>
      </c>
    </row>
    <row r="10" spans="2:5" x14ac:dyDescent="0.2">
      <c r="B10" s="3">
        <v>5</v>
      </c>
      <c r="C10" s="2">
        <v>9.0850200662151508</v>
      </c>
      <c r="D10" s="6">
        <f t="shared" si="0"/>
        <v>11.208250065761623</v>
      </c>
      <c r="E10" s="2">
        <v>3.3478724685629264</v>
      </c>
    </row>
    <row r="11" spans="2:5" x14ac:dyDescent="0.2">
      <c r="B11" s="3">
        <v>6</v>
      </c>
      <c r="C11" s="2">
        <v>21.462682967283541</v>
      </c>
      <c r="D11" s="6">
        <f t="shared" si="0"/>
        <v>12.2872570285083</v>
      </c>
      <c r="E11" s="2">
        <v>3.5053183918880038</v>
      </c>
    </row>
    <row r="12" spans="2:5" x14ac:dyDescent="0.2">
      <c r="B12" s="3">
        <v>7</v>
      </c>
      <c r="C12" s="2">
        <v>21.462682967283541</v>
      </c>
      <c r="D12" s="6">
        <f t="shared" si="0"/>
        <v>2.8990638266872184E-29</v>
      </c>
      <c r="E12" s="2">
        <v>5.3842955218739789E-15</v>
      </c>
    </row>
    <row r="13" spans="2:5" x14ac:dyDescent="0.2">
      <c r="B13" s="3">
        <v>8</v>
      </c>
      <c r="C13" s="2">
        <v>5.3267949740100624</v>
      </c>
      <c r="D13" s="6">
        <f t="shared" si="0"/>
        <v>3.2211820296524653E-30</v>
      </c>
      <c r="E13" s="2">
        <v>1.7947651739579931E-15</v>
      </c>
    </row>
    <row r="14" spans="2:5" x14ac:dyDescent="0.2">
      <c r="B14" s="3">
        <v>9</v>
      </c>
      <c r="C14" s="2">
        <v>3.7215257802760293</v>
      </c>
      <c r="D14" s="6">
        <f t="shared" si="0"/>
        <v>9.8648699658106755E-30</v>
      </c>
      <c r="E14" s="2">
        <v>3.140839054426488E-15</v>
      </c>
    </row>
    <row r="15" spans="2:5" x14ac:dyDescent="0.2">
      <c r="B15" s="7">
        <v>10</v>
      </c>
      <c r="C15" s="8">
        <v>14.082812256521077</v>
      </c>
      <c r="D15" s="9">
        <f t="shared" si="0"/>
        <v>1.2884728118609861E-29</v>
      </c>
      <c r="E15" s="8">
        <v>3.5895303479159862E-15</v>
      </c>
    </row>
    <row r="16" spans="2:5" x14ac:dyDescent="0.2">
      <c r="B16" s="3"/>
      <c r="C16" s="2"/>
      <c r="D16" s="6"/>
      <c r="E16" s="2"/>
    </row>
    <row r="17" spans="2:5" x14ac:dyDescent="0.2">
      <c r="B17" t="s">
        <v>206</v>
      </c>
      <c r="D17" s="6"/>
      <c r="E17" s="2"/>
    </row>
    <row r="18" spans="2:5" ht="64" x14ac:dyDescent="0.2">
      <c r="B18" s="10"/>
      <c r="C18" s="10"/>
      <c r="D18" s="11" t="s">
        <v>207</v>
      </c>
      <c r="E18" s="12" t="s">
        <v>208</v>
      </c>
    </row>
    <row r="19" spans="2:5" ht="16" x14ac:dyDescent="0.2">
      <c r="B19" s="13" t="s">
        <v>209</v>
      </c>
      <c r="C19" s="2">
        <v>13.063751902511379</v>
      </c>
      <c r="D19" s="6">
        <f>AVERAGE(D6:D15)</f>
        <v>2.7555005463966977</v>
      </c>
      <c r="E19" s="2">
        <f>SQRT(D19)</f>
        <v>1.6599700438250979</v>
      </c>
    </row>
    <row r="20" spans="2:5" ht="16" x14ac:dyDescent="0.2">
      <c r="B20" s="14" t="s">
        <v>210</v>
      </c>
      <c r="C20" s="8">
        <f>_xlfn.STDEV.S(C6:C15)</f>
        <v>8.6968315661432669</v>
      </c>
      <c r="D20" s="15"/>
      <c r="E2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Questionnaire data and areas</vt:lpstr>
      <vt:lpstr>Home range and time away</vt:lpstr>
      <vt:lpstr>Distance moved and rainfall</vt:lpstr>
      <vt:lpstr>Location errors of trackers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2021-12-20T10:57:53Z</dcterms:created>
  <dcterms:modified xsi:type="dcterms:W3CDTF">2022-06-06T08:43:56Z</dcterms:modified>
</cp:coreProperties>
</file>